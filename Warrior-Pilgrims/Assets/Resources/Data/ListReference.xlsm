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/>
  <mc:AlternateContent xmlns:mc="http://schemas.openxmlformats.org/markup-compatibility/2006">
    <mc:Choice Requires="x15">
      <x15ac:absPath xmlns:x15ac="http://schemas.microsoft.com/office/spreadsheetml/2010/11/ac" url="H:\Games\GitHub\Warrior-Pilgrims\Warrior-Pilgrims\Assets\Resources\Data\"/>
    </mc:Choice>
  </mc:AlternateContent>
  <xr:revisionPtr revIDLastSave="0" documentId="13_ncr:1_{EF43C348-268C-4ED0-A5AF-FCAFD1132CA0}" xr6:coauthVersionLast="47" xr6:coauthVersionMax="47" xr10:uidLastSave="{00000000-0000-0000-0000-000000000000}"/>
  <bookViews>
    <workbookView xWindow="-24120" yWindow="-120" windowWidth="24240" windowHeight="13140" activeTab="3" xr2:uid="{00000000-000D-0000-FFFF-FFFF00000000}"/>
  </bookViews>
  <sheets>
    <sheet name="References" sheetId="1" r:id="rId1"/>
    <sheet name="Skills" sheetId="4" r:id="rId2"/>
    <sheet name="StatusEffects" sheetId="3" r:id="rId3"/>
    <sheet name="StatTemplates" sheetId="5" r:id="rId4"/>
  </sheets>
  <definedNames>
    <definedName name="SkillFileList">FILES(References!$B$3)</definedName>
    <definedName name="StatTemplateFileList">FILES(References!$B$4)</definedName>
    <definedName name="StatusEffectFileList">FILES(References!$B$2)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5" l="1" a="1"/>
  <c r="A5" i="5" a="1"/>
  <c r="A8" i="5" a="1"/>
  <c r="A11" i="5" a="1"/>
  <c r="A14" i="5" a="1"/>
  <c r="A17" i="5" a="1"/>
  <c r="A20" i="5" a="1"/>
  <c r="A23" i="5" a="1"/>
  <c r="A26" i="5" a="1"/>
  <c r="A29" i="5" a="1"/>
  <c r="A32" i="5" a="1"/>
  <c r="A35" i="5" a="1"/>
  <c r="A38" i="5" a="1"/>
  <c r="A41" i="5" a="1"/>
  <c r="A44" i="5" a="1"/>
  <c r="A47" i="5" a="1"/>
  <c r="A50" i="5" a="1"/>
  <c r="A53" i="5" a="1"/>
  <c r="A56" i="5" a="1"/>
  <c r="A62" i="5" a="1"/>
  <c r="A65" i="5" a="1"/>
  <c r="A68" i="5" a="1"/>
  <c r="A71" i="5" a="1"/>
  <c r="A74" i="5" a="1"/>
  <c r="A77" i="5" a="1"/>
  <c r="A80" i="5" a="1"/>
  <c r="A83" i="5" a="1"/>
  <c r="A89" i="5" a="1"/>
  <c r="A95" i="5" a="1"/>
  <c r="A98" i="5" a="1"/>
  <c r="A25" i="5" a="1"/>
  <c r="A46" i="5" a="1"/>
  <c r="A58" i="5" a="1"/>
  <c r="A73" i="5" a="1"/>
  <c r="A94" i="5" a="1"/>
  <c r="A63" i="5" a="1"/>
  <c r="A87" i="5" a="1"/>
  <c r="A99" i="5" a="1"/>
  <c r="A13" i="5" a="1"/>
  <c r="A49" i="5" a="1"/>
  <c r="A70" i="5" a="1"/>
  <c r="A82" i="5" a="1"/>
  <c r="A97" i="5" a="1"/>
  <c r="A3" i="5" a="1"/>
  <c r="A6" i="5" a="1"/>
  <c r="A9" i="5" a="1"/>
  <c r="A12" i="5" a="1"/>
  <c r="A15" i="5" a="1"/>
  <c r="A18" i="5" a="1"/>
  <c r="A21" i="5" a="1"/>
  <c r="A24" i="5" a="1"/>
  <c r="A27" i="5" a="1"/>
  <c r="A30" i="5" a="1"/>
  <c r="A33" i="5" a="1"/>
  <c r="A36" i="5" a="1"/>
  <c r="A39" i="5" a="1"/>
  <c r="A42" i="5" a="1"/>
  <c r="A45" i="5" a="1"/>
  <c r="A48" i="5" a="1"/>
  <c r="A51" i="5" a="1"/>
  <c r="A54" i="5" a="1"/>
  <c r="A57" i="5" a="1"/>
  <c r="A60" i="5" a="1"/>
  <c r="A66" i="5" a="1"/>
  <c r="A69" i="5" a="1"/>
  <c r="A72" i="5" a="1"/>
  <c r="A75" i="5" a="1"/>
  <c r="A78" i="5" a="1"/>
  <c r="A81" i="5" a="1"/>
  <c r="A84" i="5" a="1"/>
  <c r="A90" i="5" a="1"/>
  <c r="A93" i="5" a="1"/>
  <c r="A96" i="5" a="1"/>
  <c r="A16" i="5" a="1"/>
  <c r="A43" i="5" a="1"/>
  <c r="A61" i="5" a="1"/>
  <c r="A76" i="5" a="1"/>
  <c r="A91" i="5" a="1"/>
  <c r="A4" i="5" a="1"/>
  <c r="A7" i="5" a="1"/>
  <c r="A10" i="5" a="1"/>
  <c r="A19" i="5" a="1"/>
  <c r="A28" i="5" a="1"/>
  <c r="A31" i="5" a="1"/>
  <c r="A34" i="5" a="1"/>
  <c r="A40" i="5" a="1"/>
  <c r="A55" i="5" a="1"/>
  <c r="A64" i="5" a="1"/>
  <c r="A79" i="5" a="1"/>
  <c r="A88" i="5" a="1"/>
  <c r="A100" i="5" a="1"/>
  <c r="A59" i="5" a="1"/>
  <c r="A86" i="5" a="1"/>
  <c r="A92" i="5" a="1"/>
  <c r="A22" i="5" a="1"/>
  <c r="A37" i="5" a="1"/>
  <c r="A52" i="5" a="1"/>
  <c r="A67" i="5" a="1"/>
  <c r="A85" i="5" a="1"/>
  <c r="A3" i="3" a="1"/>
  <c r="A6" i="3" a="1"/>
  <c r="A9" i="3" a="1"/>
  <c r="A12" i="3" a="1"/>
  <c r="A15" i="3" a="1"/>
  <c r="A18" i="3" a="1"/>
  <c r="A21" i="3" a="1"/>
  <c r="A24" i="3" a="1"/>
  <c r="A27" i="3" a="1"/>
  <c r="A30" i="3" a="1"/>
  <c r="A33" i="3" a="1"/>
  <c r="A36" i="3" a="1"/>
  <c r="A39" i="3" a="1"/>
  <c r="A42" i="3" a="1"/>
  <c r="A45" i="3" a="1"/>
  <c r="A48" i="3" a="1"/>
  <c r="A51" i="3" a="1"/>
  <c r="A54" i="3" a="1"/>
  <c r="A57" i="3" a="1"/>
  <c r="A60" i="3" a="1"/>
  <c r="A63" i="3" a="1"/>
  <c r="A66" i="3" a="1"/>
  <c r="A69" i="3" a="1"/>
  <c r="A72" i="3" a="1"/>
  <c r="A75" i="3" a="1"/>
  <c r="A78" i="3" a="1"/>
  <c r="A81" i="3" a="1"/>
  <c r="A84" i="3" a="1"/>
  <c r="A87" i="3" a="1"/>
  <c r="A90" i="3" a="1"/>
  <c r="A93" i="3" a="1"/>
  <c r="A96" i="3" a="1"/>
  <c r="A99" i="3" a="1"/>
  <c r="A4" i="3" a="1"/>
  <c r="A10" i="3" a="1"/>
  <c r="A16" i="3" a="1"/>
  <c r="A22" i="3" a="1"/>
  <c r="A28" i="3" a="1"/>
  <c r="A34" i="3" a="1"/>
  <c r="A40" i="3" a="1"/>
  <c r="A46" i="3" a="1"/>
  <c r="A52" i="3" a="1"/>
  <c r="A58" i="3" a="1"/>
  <c r="A64" i="3" a="1"/>
  <c r="A70" i="3" a="1"/>
  <c r="A2" i="3" a="1"/>
  <c r="A5" i="3" a="1"/>
  <c r="A8" i="3" a="1"/>
  <c r="A11" i="3" a="1"/>
  <c r="A14" i="3" a="1"/>
  <c r="A17" i="3" a="1"/>
  <c r="A20" i="3" a="1"/>
  <c r="A23" i="3" a="1"/>
  <c r="A26" i="3" a="1"/>
  <c r="A29" i="3" a="1"/>
  <c r="A32" i="3" a="1"/>
  <c r="A35" i="3" a="1"/>
  <c r="A38" i="3" a="1"/>
  <c r="A41" i="3" a="1"/>
  <c r="A44" i="3" a="1"/>
  <c r="A47" i="3" a="1"/>
  <c r="A50" i="3" a="1"/>
  <c r="A53" i="3" a="1"/>
  <c r="A56" i="3" a="1"/>
  <c r="A59" i="3" a="1"/>
  <c r="A62" i="3" a="1"/>
  <c r="A65" i="3" a="1"/>
  <c r="A68" i="3" a="1"/>
  <c r="A71" i="3" a="1"/>
  <c r="A74" i="3" a="1"/>
  <c r="A77" i="3" a="1"/>
  <c r="A80" i="3" a="1"/>
  <c r="A83" i="3" a="1"/>
  <c r="A86" i="3" a="1"/>
  <c r="A89" i="3" a="1"/>
  <c r="A92" i="3" a="1"/>
  <c r="A95" i="3" a="1"/>
  <c r="A98" i="3" a="1"/>
  <c r="A7" i="3" a="1"/>
  <c r="A13" i="3" a="1"/>
  <c r="A19" i="3" a="1"/>
  <c r="A25" i="3" a="1"/>
  <c r="A31" i="3" a="1"/>
  <c r="A37" i="3" a="1"/>
  <c r="A43" i="3" a="1"/>
  <c r="A49" i="3" a="1"/>
  <c r="A55" i="3" a="1"/>
  <c r="A61" i="3" a="1"/>
  <c r="A67" i="3" a="1"/>
  <c r="A73" i="3" a="1"/>
  <c r="A79" i="3" a="1"/>
  <c r="A85" i="3" a="1"/>
  <c r="A88" i="3" a="1"/>
  <c r="A91" i="3" a="1"/>
  <c r="A97" i="3" a="1"/>
  <c r="A82" i="3" a="1"/>
  <c r="A94" i="3" a="1"/>
  <c r="A76" i="3" a="1"/>
  <c r="A100" i="3" a="1"/>
  <c r="A36" i="4" a="1"/>
  <c r="A69" i="4" a="1"/>
  <c r="A84" i="4" a="1"/>
  <c r="A90" i="4" a="1"/>
  <c r="A96" i="4" a="1"/>
  <c r="A19" i="4" a="1"/>
  <c r="A28" i="4" a="1"/>
  <c r="A34" i="4" a="1"/>
  <c r="A43" i="4" a="1"/>
  <c r="A52" i="4" a="1"/>
  <c r="A61" i="4" a="1"/>
  <c r="A70" i="4" a="1"/>
  <c r="A79" i="4" a="1"/>
  <c r="A88" i="4" a="1"/>
  <c r="A94" i="4" a="1"/>
  <c r="A65" i="4" a="1"/>
  <c r="A77" i="4" a="1"/>
  <c r="A89" i="4" a="1"/>
  <c r="A3" i="4" a="1"/>
  <c r="A6" i="4" a="1"/>
  <c r="A9" i="4" a="1"/>
  <c r="A12" i="4" a="1"/>
  <c r="A15" i="4" a="1"/>
  <c r="A18" i="4" a="1"/>
  <c r="A21" i="4" a="1"/>
  <c r="A24" i="4" a="1"/>
  <c r="A27" i="4" a="1"/>
  <c r="A30" i="4" a="1"/>
  <c r="A33" i="4" a="1"/>
  <c r="A39" i="4" a="1"/>
  <c r="A42" i="4" a="1"/>
  <c r="A45" i="4" a="1"/>
  <c r="A48" i="4" a="1"/>
  <c r="A51" i="4" a="1"/>
  <c r="A54" i="4" a="1"/>
  <c r="A57" i="4" a="1"/>
  <c r="A60" i="4" a="1"/>
  <c r="A63" i="4" a="1"/>
  <c r="A66" i="4" a="1"/>
  <c r="A72" i="4" a="1"/>
  <c r="A75" i="4" a="1"/>
  <c r="A78" i="4" a="1"/>
  <c r="A81" i="4" a="1"/>
  <c r="A87" i="4" a="1"/>
  <c r="A93" i="4" a="1"/>
  <c r="A99" i="4" a="1"/>
  <c r="A22" i="4" a="1"/>
  <c r="A40" i="4" a="1"/>
  <c r="A49" i="4" a="1"/>
  <c r="A55" i="4" a="1"/>
  <c r="A64" i="4" a="1"/>
  <c r="A73" i="4" a="1"/>
  <c r="A82" i="4" a="1"/>
  <c r="A91" i="4" a="1"/>
  <c r="A100" i="4" a="1"/>
  <c r="A71" i="4" a="1"/>
  <c r="A86" i="4" a="1"/>
  <c r="A95" i="4" a="1"/>
  <c r="A4" i="4" a="1"/>
  <c r="A7" i="4" a="1"/>
  <c r="A10" i="4" a="1"/>
  <c r="A13" i="4" a="1"/>
  <c r="A16" i="4" a="1"/>
  <c r="A25" i="4" a="1"/>
  <c r="A31" i="4" a="1"/>
  <c r="A37" i="4" a="1"/>
  <c r="A46" i="4" a="1"/>
  <c r="A58" i="4" a="1"/>
  <c r="A67" i="4" a="1"/>
  <c r="A76" i="4" a="1"/>
  <c r="A85" i="4" a="1"/>
  <c r="A97" i="4" a="1"/>
  <c r="A68" i="4" a="1"/>
  <c r="A80" i="4" a="1"/>
  <c r="A92" i="4" a="1"/>
  <c r="A2" i="4" a="1"/>
  <c r="A5" i="4" a="1"/>
  <c r="A8" i="4" a="1"/>
  <c r="A11" i="4" a="1"/>
  <c r="A14" i="4" a="1"/>
  <c r="A17" i="4" a="1"/>
  <c r="A20" i="4" a="1"/>
  <c r="A23" i="4" a="1"/>
  <c r="A26" i="4" a="1"/>
  <c r="A29" i="4" a="1"/>
  <c r="A32" i="4" a="1"/>
  <c r="A35" i="4" a="1"/>
  <c r="A38" i="4" a="1"/>
  <c r="A41" i="4" a="1"/>
  <c r="A44" i="4" a="1"/>
  <c r="A47" i="4" a="1"/>
  <c r="A50" i="4" a="1"/>
  <c r="A53" i="4" a="1"/>
  <c r="A56" i="4" a="1"/>
  <c r="A59" i="4" a="1"/>
  <c r="A62" i="4" a="1"/>
  <c r="A74" i="4" a="1"/>
  <c r="A83" i="4" a="1"/>
  <c r="A98" i="4" a="1"/>
  <c r="A1" i="4" a="1"/>
  <c r="A85" i="5" l="1"/>
  <c r="A67" i="5"/>
  <c r="A52" i="5"/>
  <c r="A37" i="5"/>
  <c r="A22" i="5"/>
  <c r="A92" i="5"/>
  <c r="A86" i="5"/>
  <c r="A59" i="5"/>
  <c r="A100" i="5"/>
  <c r="A88" i="5"/>
  <c r="A79" i="5"/>
  <c r="A64" i="5"/>
  <c r="A55" i="5"/>
  <c r="A40" i="5"/>
  <c r="A34" i="5"/>
  <c r="A31" i="5"/>
  <c r="A28" i="5"/>
  <c r="A19" i="5"/>
  <c r="A10" i="5"/>
  <c r="A7" i="5"/>
  <c r="A4" i="5"/>
  <c r="A91" i="5"/>
  <c r="A76" i="5"/>
  <c r="A61" i="5"/>
  <c r="A43" i="5"/>
  <c r="A16" i="5"/>
  <c r="A96" i="5"/>
  <c r="A93" i="5"/>
  <c r="A90" i="5"/>
  <c r="A84" i="5"/>
  <c r="A81" i="5"/>
  <c r="A78" i="5"/>
  <c r="A75" i="5"/>
  <c r="A72" i="5"/>
  <c r="A69" i="5"/>
  <c r="A66" i="5"/>
  <c r="A60" i="5"/>
  <c r="A57" i="5"/>
  <c r="A54" i="5"/>
  <c r="A51" i="5"/>
  <c r="A48" i="5"/>
  <c r="A45" i="5"/>
  <c r="A42" i="5"/>
  <c r="A39" i="5"/>
  <c r="A36" i="5"/>
  <c r="A33" i="5"/>
  <c r="A30" i="5"/>
  <c r="A27" i="5"/>
  <c r="A24" i="5"/>
  <c r="A21" i="5"/>
  <c r="A18" i="5"/>
  <c r="A15" i="5"/>
  <c r="A12" i="5"/>
  <c r="A9" i="5"/>
  <c r="A6" i="5"/>
  <c r="A3" i="5"/>
  <c r="A97" i="5"/>
  <c r="A82" i="5"/>
  <c r="A70" i="5"/>
  <c r="A49" i="5"/>
  <c r="A13" i="5"/>
  <c r="A99" i="5"/>
  <c r="A87" i="5"/>
  <c r="A63" i="5"/>
  <c r="A94" i="5"/>
  <c r="A73" i="5"/>
  <c r="A58" i="5"/>
  <c r="A46" i="5"/>
  <c r="A25" i="5"/>
  <c r="A98" i="5"/>
  <c r="A95" i="5"/>
  <c r="A89" i="5"/>
  <c r="A83" i="5"/>
  <c r="A80" i="5"/>
  <c r="A77" i="5"/>
  <c r="A74" i="5"/>
  <c r="A71" i="5"/>
  <c r="A68" i="5"/>
  <c r="A65" i="5"/>
  <c r="A62" i="5"/>
  <c r="A56" i="5"/>
  <c r="A53" i="5"/>
  <c r="A50" i="5"/>
  <c r="A47" i="5"/>
  <c r="A44" i="5"/>
  <c r="A41" i="5"/>
  <c r="A38" i="5"/>
  <c r="A35" i="5"/>
  <c r="A32" i="5"/>
  <c r="A29" i="5"/>
  <c r="A26" i="5"/>
  <c r="A23" i="5"/>
  <c r="A20" i="5"/>
  <c r="A17" i="5"/>
  <c r="A14" i="5"/>
  <c r="A11" i="5"/>
  <c r="A8" i="5"/>
  <c r="A5" i="5"/>
  <c r="A2" i="5"/>
  <c r="A100" i="3"/>
  <c r="A76" i="3"/>
  <c r="A94" i="3"/>
  <c r="A82" i="3"/>
  <c r="A97" i="3"/>
  <c r="A91" i="3"/>
  <c r="A88" i="3"/>
  <c r="A85" i="3"/>
  <c r="A79" i="3"/>
  <c r="A73" i="3"/>
  <c r="A67" i="3"/>
  <c r="A61" i="3"/>
  <c r="A55" i="3"/>
  <c r="A49" i="3"/>
  <c r="A43" i="3"/>
  <c r="A37" i="3"/>
  <c r="A31" i="3"/>
  <c r="A25" i="3"/>
  <c r="A19" i="3"/>
  <c r="A13" i="3"/>
  <c r="A7" i="3"/>
  <c r="A98" i="3"/>
  <c r="A95" i="3"/>
  <c r="A92" i="3"/>
  <c r="A89" i="3"/>
  <c r="A86" i="3"/>
  <c r="A83" i="3"/>
  <c r="A80" i="3"/>
  <c r="A77" i="3"/>
  <c r="A74" i="3"/>
  <c r="A71" i="3"/>
  <c r="A68" i="3"/>
  <c r="A65" i="3"/>
  <c r="A62" i="3"/>
  <c r="A59" i="3"/>
  <c r="A56" i="3"/>
  <c r="A53" i="3"/>
  <c r="A50" i="3"/>
  <c r="A47" i="3"/>
  <c r="A44" i="3"/>
  <c r="A41" i="3"/>
  <c r="A38" i="3"/>
  <c r="A35" i="3"/>
  <c r="A32" i="3"/>
  <c r="A29" i="3"/>
  <c r="A26" i="3"/>
  <c r="A23" i="3"/>
  <c r="A20" i="3"/>
  <c r="A17" i="3"/>
  <c r="A14" i="3"/>
  <c r="A11" i="3"/>
  <c r="A8" i="3"/>
  <c r="A5" i="3"/>
  <c r="A2" i="3"/>
  <c r="A70" i="3"/>
  <c r="A64" i="3"/>
  <c r="A58" i="3"/>
  <c r="A52" i="3"/>
  <c r="A46" i="3"/>
  <c r="A40" i="3"/>
  <c r="A34" i="3"/>
  <c r="A28" i="3"/>
  <c r="A22" i="3"/>
  <c r="A16" i="3"/>
  <c r="A10" i="3"/>
  <c r="A4" i="3"/>
  <c r="A99" i="3"/>
  <c r="A96" i="3"/>
  <c r="A93" i="3"/>
  <c r="A90" i="3"/>
  <c r="A87" i="3"/>
  <c r="A84" i="3"/>
  <c r="A81" i="3"/>
  <c r="A78" i="3"/>
  <c r="A75" i="3"/>
  <c r="A72" i="3"/>
  <c r="A69" i="3"/>
  <c r="A66" i="3"/>
  <c r="A63" i="3"/>
  <c r="A60" i="3"/>
  <c r="A57" i="3"/>
  <c r="A54" i="3"/>
  <c r="A51" i="3"/>
  <c r="A48" i="3"/>
  <c r="A45" i="3"/>
  <c r="A42" i="3"/>
  <c r="A39" i="3"/>
  <c r="A36" i="3"/>
  <c r="A33" i="3"/>
  <c r="A30" i="3"/>
  <c r="A27" i="3"/>
  <c r="A24" i="3"/>
  <c r="A21" i="3"/>
  <c r="A18" i="3"/>
  <c r="A15" i="3"/>
  <c r="A12" i="3"/>
  <c r="A9" i="3"/>
  <c r="A6" i="3"/>
  <c r="A3" i="3"/>
  <c r="A98" i="4"/>
  <c r="A83" i="4"/>
  <c r="A74" i="4"/>
  <c r="A62" i="4"/>
  <c r="A59" i="4"/>
  <c r="A56" i="4"/>
  <c r="A53" i="4"/>
  <c r="A50" i="4"/>
  <c r="A47" i="4"/>
  <c r="A44" i="4"/>
  <c r="A41" i="4"/>
  <c r="A38" i="4"/>
  <c r="A35" i="4"/>
  <c r="A32" i="4"/>
  <c r="A29" i="4"/>
  <c r="A26" i="4"/>
  <c r="A23" i="4"/>
  <c r="A20" i="4"/>
  <c r="A17" i="4"/>
  <c r="A14" i="4"/>
  <c r="A11" i="4"/>
  <c r="A8" i="4"/>
  <c r="A5" i="4"/>
  <c r="A2" i="4"/>
  <c r="A92" i="4"/>
  <c r="A80" i="4"/>
  <c r="A68" i="4"/>
  <c r="A97" i="4"/>
  <c r="A85" i="4"/>
  <c r="A76" i="4"/>
  <c r="A67" i="4"/>
  <c r="A58" i="4"/>
  <c r="A46" i="4"/>
  <c r="A37" i="4"/>
  <c r="A31" i="4"/>
  <c r="A25" i="4"/>
  <c r="A16" i="4"/>
  <c r="A13" i="4"/>
  <c r="A10" i="4"/>
  <c r="A7" i="4"/>
  <c r="A4" i="4"/>
  <c r="A95" i="4"/>
  <c r="A86" i="4"/>
  <c r="A71" i="4"/>
  <c r="A100" i="4"/>
  <c r="A91" i="4"/>
  <c r="A82" i="4"/>
  <c r="A73" i="4"/>
  <c r="A64" i="4"/>
  <c r="A55" i="4"/>
  <c r="A49" i="4"/>
  <c r="A40" i="4"/>
  <c r="A22" i="4"/>
  <c r="A99" i="4"/>
  <c r="A93" i="4"/>
  <c r="A87" i="4"/>
  <c r="A81" i="4"/>
  <c r="A78" i="4"/>
  <c r="A75" i="4"/>
  <c r="A72" i="4"/>
  <c r="A66" i="4"/>
  <c r="A63" i="4"/>
  <c r="A60" i="4"/>
  <c r="A57" i="4"/>
  <c r="A54" i="4"/>
  <c r="A51" i="4"/>
  <c r="A48" i="4"/>
  <c r="A45" i="4"/>
  <c r="A42" i="4"/>
  <c r="A39" i="4"/>
  <c r="A33" i="4"/>
  <c r="A30" i="4"/>
  <c r="A27" i="4"/>
  <c r="A24" i="4"/>
  <c r="A21" i="4"/>
  <c r="A18" i="4"/>
  <c r="A15" i="4"/>
  <c r="A12" i="4"/>
  <c r="A9" i="4"/>
  <c r="A6" i="4"/>
  <c r="A3" i="4"/>
  <c r="A89" i="4"/>
  <c r="A77" i="4"/>
  <c r="A65" i="4"/>
  <c r="A94" i="4"/>
  <c r="A88" i="4"/>
  <c r="A79" i="4"/>
  <c r="A70" i="4"/>
  <c r="A61" i="4"/>
  <c r="A52" i="4"/>
  <c r="A43" i="4"/>
  <c r="A34" i="4"/>
  <c r="A28" i="4"/>
  <c r="A19" i="4"/>
  <c r="A96" i="4"/>
  <c r="A90" i="4"/>
  <c r="A84" i="4"/>
  <c r="A69" i="4"/>
  <c r="A36" i="4"/>
  <c r="A1" i="4"/>
  <c r="A1" i="5" a="1"/>
  <c r="A1" i="3" a="1"/>
  <c r="A1" i="5" l="1"/>
  <c r="A1" i="3"/>
  <c r="G3" i="5" l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E2" i="3" a="1"/>
  <c r="E2" i="3" s="1"/>
  <c r="G2" i="3" s="1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3" l="1"/>
  <c r="E2" i="5" l="1" a="1"/>
  <c r="E2" i="5" s="1"/>
  <c r="G2" i="5" s="1"/>
  <c r="E2" i="4" a="1"/>
  <c r="E2" i="4" s="1"/>
  <c r="G2" i="4" s="1"/>
  <c r="G3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<sst xmlns="http://schemas.openxmlformats.org/spreadsheetml/2006/main" count="17" uniqueCount="13">
  <si>
    <t>Name</t>
  </si>
  <si>
    <t>Path</t>
  </si>
  <si>
    <t>StatusEffects</t>
  </si>
  <si>
    <t>Skills</t>
  </si>
  <si>
    <t>H:\Games\GitHub\Warrior-Pilgrims\Warrior-Pilgrims\Assets\Resources\Data\Status Effects\Status Effects\*xls*</t>
  </si>
  <si>
    <t>H:\Games\GitHub\Warrior-Pilgrims\Warrior-Pilgrims\Assets\Resources\Data\Skills\Skills\*xls*</t>
  </si>
  <si>
    <t>Regex</t>
  </si>
  <si>
    <t>xlsx</t>
  </si>
  <si>
    <t>StatusEffectNames</t>
  </si>
  <si>
    <t>.xlsx</t>
  </si>
  <si>
    <t>StatTemplates</t>
  </si>
  <si>
    <t>H:\Games\GitHub\Warrior-Pilgrims\Warrior-Pilgrims\Assets\Resources\Data\Stats\Stat Templates\Stat Templates\*xls*</t>
  </si>
  <si>
    <t>Stat Templates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</si>
</sst>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2"/>
      <color rgb="FFFBDE2D"/>
      <name val="Roboto Mono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1" xfId="0" applyFont="1" applyBorder="1" applyAlignment="1">
      <alignment horizontal="left" vertical="center" indent="2"/>
    </xf>
    <xf numFmtId="0" fontId="0" fillId="0" borderId="1" xfId="0" applyBorder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2AE2C4B-CCA8-495E-BBDC-6DCF176A88D8}" name="Table1" displayName="Table1" ref="A1:B4" totalsRowShown="0">
  <autoFilter ref="A1:B4" xr:uid="{62AE2C4B-CCA8-495E-BBDC-6DCF176A88D8}"/>
  <tableColumns count="2">
    <tableColumn id="1" xr3:uid="{67BDF3DD-71AC-4056-B263-0DE6868DF050}" name="Name"/>
    <tableColumn id="2" xr3:uid="{8D32B330-9647-477E-BF65-A5098118283B}" name="Pat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12DDEB6-D091-40C8-95A8-C629172F48D2}" name="Table4131418" displayName="Table4131418" ref="C1:C2" totalsRowShown="0">
  <autoFilter ref="C1:C2" xr:uid="{C12DDEB6-D091-40C8-95A8-C629172F48D2}"/>
  <tableColumns count="1">
    <tableColumn id="1" xr3:uid="{E780BE1D-0BAF-4C87-9BB9-30400201E22C}" name="Rege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650D53-3690-429E-BC25-613D415F6DF1}" name="Table1519" displayName="Table1519" ref="G1:G2" totalsRowShown="0">
  <autoFilter ref="G1:G2" xr:uid="{35650D53-3690-429E-BC25-613D415F6DF1}"/>
  <tableColumns count="1">
    <tableColumn id="1" xr3:uid="{856AB376-9BDD-47C3-AA15-35ED5F43B400}" name="StatusEffectNames">
      <calculatedColumnFormula>IF(E2&lt;&gt;"", E2, 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A761D46-E643-4A89-878F-A1D836C5A5DB}" name="Table41314" displayName="Table41314" ref="C1:C2" totalsRowShown="0">
  <autoFilter ref="C1:C2" xr:uid="{CA761D46-E643-4A89-878F-A1D836C5A5DB}"/>
  <tableColumns count="1">
    <tableColumn id="1" xr3:uid="{AD00F378-79F4-49A6-846D-63A0BE7C81DE}" name="Regex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F96C903-3772-4DA9-B545-B9F007F33583}" name="Table15" displayName="Table15" ref="G1:G2" totalsRowShown="0">
  <autoFilter ref="G1:G2" xr:uid="{AF96C903-3772-4DA9-B545-B9F007F33583}"/>
  <tableColumns count="1">
    <tableColumn id="1" xr3:uid="{2D01E446-71BA-4169-89F7-3BD8148D5B2B}" name="StatusEffectNames">
      <calculatedColumnFormula>IF(E2&lt;&gt;"", LEFT(E2,LEN(E2)-LEN(Table41314[[#This Row],[Regex]])), "")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3EE869-6193-44C3-BD08-D99E70D8E10F}" name="Table413143" displayName="Table413143" ref="C1:C2" totalsRowShown="0">
  <autoFilter ref="C1:C2" xr:uid="{D33EE869-6193-44C3-BD08-D99E70D8E10F}"/>
  <tableColumns count="1">
    <tableColumn id="1" xr3:uid="{C30656E8-FEA7-4C84-AC2F-73025A2E0AF8}" name="Regex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EDE207-29BD-4CAF-86A1-EA21737E4598}" name="Table154" displayName="Table154" ref="G1:G2" totalsRowShown="0">
  <autoFilter ref="G1:G2" xr:uid="{DDEDE207-29BD-4CAF-86A1-EA21737E4598}"/>
  <tableColumns count="1">
    <tableColumn id="1" xr3:uid="{274E5ADB-AC63-4E31-A133-8E6D008510D8}" name="Stat Templates">
      <calculatedColumnFormula>IF(E2&lt;&gt;"", LEFT(E2,LEN(E2)-LEN(Table413143[[#This Row],[Regex]])),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4"/>
  <sheetViews>
    <sheetView workbookViewId="0">
      <selection activeCell="B11" sqref="B11"/>
    </sheetView>
  </sheetViews>
  <sheetFormatPr defaultRowHeight="15" x14ac:dyDescent="0.25"/>
  <cols>
    <col min="1" max="1" width="24.28515625" customWidth="1"/>
    <col min="2" max="2" width="107.85546875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t="s">
        <v>4</v>
      </c>
    </row>
    <row r="3" spans="1:2" x14ac:dyDescent="0.25">
      <c r="A3" t="s">
        <v>3</v>
      </c>
      <c r="B3" t="s">
        <v>5</v>
      </c>
    </row>
    <row r="4" spans="1:2" x14ac:dyDescent="0.25">
      <c r="A4" t="s">
        <v>10</v>
      </c>
      <c r="B4" t="s">
        <v>11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5144F-9B6F-4A29-BB76-8BC9F928DB47}">
  <dimension ref="A1:G100"/>
  <sheetViews>
    <sheetView workbookViewId="0">
      <selection activeCell="B7" sqref="B7"/>
    </sheetView>
  </sheetViews>
  <sheetFormatPr defaultRowHeight="15" x14ac:dyDescent="0.25"/>
  <cols>
    <col min="1" max="1" width="35.28515625" customWidth="1"/>
    <col min="2" max="2" width="29.42578125" customWidth="1"/>
    <col min="5" max="5" width="19" customWidth="1"/>
    <col min="7" max="7" width="20.140625" customWidth="1"/>
  </cols>
  <sheetData>
    <row r="1" spans="1:7" ht="15.75" thickBot="1" x14ac:dyDescent="0.3">
      <c r="A1" s="1" t="str" cm="1">
        <f t="array" ref="A1">IFERROR(INDEX(SkillFileList,ROW()),"")</f>
        <v>Transcendental Allure.xlsx</v>
      </c>
      <c r="C1" t="s">
        <v>6</v>
      </c>
      <c r="G1" t="s">
        <v>8</v>
      </c>
    </row>
    <row r="2" spans="1:7" ht="15.75" thickBot="1" x14ac:dyDescent="0.3">
      <c r="A2" s="1" t="str" cm="1">
        <f t="array" ref="A2">IFERROR(INDEX(SkillFileList,ROW()),"")</f>
        <v>Transcendental Allure.xlsx.meta</v>
      </c>
      <c r="C2" t="s">
        <v>7</v>
      </c>
      <c r="E2" t="str" cm="1">
        <f t="array" ref="E2">_xlfn._xlws.FILTER(A1:A100,RIGHT(A1:A100,LEN(Table4131418[[#This Row],[Regex]]))=Table4131418[[#This Row],[Regex]],"No Results!")</f>
        <v>Transcendental Allure.xlsx</v>
      </c>
      <c r="G2" t="str">
        <f>IF(E2&lt;&gt;"", E2, "")</f>
        <v>Transcendental Allure.xlsx</v>
      </c>
    </row>
    <row r="3" spans="1:7" ht="15.75" thickBot="1" x14ac:dyDescent="0.3">
      <c r="A3" s="1" t="str" cm="1">
        <f t="array" ref="A3">IFERROR(INDEX(SkillFileList,ROW()),"")</f>
        <v>~$Transcendental Allure.xlsx.meta</v>
      </c>
      <c r="G3" t="str">
        <f t="shared" ref="G3:G30" si="0">IF(E3&lt;&gt;"", E3, "")</f>
        <v/>
      </c>
    </row>
    <row r="4" spans="1:7" ht="15.75" thickBot="1" x14ac:dyDescent="0.3">
      <c r="A4" s="1" t="str" cm="1">
        <f t="array" ref="A4">IFERROR(INDEX(SkillFileList,ROW()),"")</f>
        <v/>
      </c>
      <c r="G4" t="str">
        <f t="shared" si="0"/>
        <v/>
      </c>
    </row>
    <row r="5" spans="1:7" ht="15.75" thickBot="1" x14ac:dyDescent="0.3">
      <c r="A5" s="1" t="str" cm="1">
        <f t="array" ref="A5">IFERROR(INDEX(SkillFileList,ROW()),"")</f>
        <v/>
      </c>
      <c r="G5" t="str">
        <f t="shared" si="0"/>
        <v/>
      </c>
    </row>
    <row r="6" spans="1:7" ht="15.75" thickBot="1" x14ac:dyDescent="0.3">
      <c r="A6" s="1" t="str" cm="1">
        <f t="array" ref="A6">IFERROR(INDEX(SkillFileList,ROW()),"")</f>
        <v/>
      </c>
      <c r="G6" t="str">
        <f t="shared" si="0"/>
        <v/>
      </c>
    </row>
    <row r="7" spans="1:7" ht="15.75" thickBot="1" x14ac:dyDescent="0.3">
      <c r="A7" s="1" t="str" cm="1">
        <f t="array" ref="A7">IFERROR(INDEX(SkillFileList,ROW()),"")</f>
        <v/>
      </c>
      <c r="G7" t="str">
        <f t="shared" si="0"/>
        <v/>
      </c>
    </row>
    <row r="8" spans="1:7" ht="15.75" thickBot="1" x14ac:dyDescent="0.3">
      <c r="A8" s="1" t="str" cm="1">
        <f t="array" ref="A8">IFERROR(INDEX(SkillFileList,ROW()),"")</f>
        <v/>
      </c>
      <c r="G8" t="str">
        <f t="shared" si="0"/>
        <v/>
      </c>
    </row>
    <row r="9" spans="1:7" ht="15.75" thickBot="1" x14ac:dyDescent="0.3">
      <c r="A9" s="1" t="str" cm="1">
        <f t="array" ref="A9">IFERROR(INDEX(SkillFileList,ROW()),"")</f>
        <v/>
      </c>
      <c r="G9" t="str">
        <f t="shared" si="0"/>
        <v/>
      </c>
    </row>
    <row r="10" spans="1:7" ht="15.75" thickBot="1" x14ac:dyDescent="0.3">
      <c r="A10" s="1" t="str" cm="1">
        <f t="array" ref="A10">IFERROR(INDEX(SkillFileList,ROW()),"")</f>
        <v/>
      </c>
      <c r="G10" t="str">
        <f t="shared" si="0"/>
        <v/>
      </c>
    </row>
    <row r="11" spans="1:7" ht="15.75" thickBot="1" x14ac:dyDescent="0.3">
      <c r="A11" s="1" t="str" cm="1">
        <f t="array" ref="A11">IFERROR(INDEX(SkillFileList,ROW()),"")</f>
        <v/>
      </c>
      <c r="G11" t="str">
        <f t="shared" si="0"/>
        <v/>
      </c>
    </row>
    <row r="12" spans="1:7" ht="15.75" thickBot="1" x14ac:dyDescent="0.3">
      <c r="A12" s="1" t="str" cm="1">
        <f t="array" ref="A12">IFERROR(INDEX(SkillFileList,ROW()),"")</f>
        <v/>
      </c>
      <c r="G12" t="str">
        <f t="shared" si="0"/>
        <v/>
      </c>
    </row>
    <row r="13" spans="1:7" ht="15.75" thickBot="1" x14ac:dyDescent="0.3">
      <c r="A13" s="1" t="str" cm="1">
        <f t="array" ref="A13">IFERROR(INDEX(SkillFileList,ROW()),"")</f>
        <v/>
      </c>
      <c r="G13" t="str">
        <f t="shared" si="0"/>
        <v/>
      </c>
    </row>
    <row r="14" spans="1:7" ht="15.75" thickBot="1" x14ac:dyDescent="0.3">
      <c r="A14" s="1" t="str" cm="1">
        <f t="array" ref="A14">IFERROR(INDEX(SkillFileList,ROW()),"")</f>
        <v/>
      </c>
      <c r="G14" t="str">
        <f t="shared" si="0"/>
        <v/>
      </c>
    </row>
    <row r="15" spans="1:7" ht="15.75" thickBot="1" x14ac:dyDescent="0.3">
      <c r="A15" s="1" t="str" cm="1">
        <f t="array" ref="A15">IFERROR(INDEX(SkillFileList,ROW()),"")</f>
        <v/>
      </c>
      <c r="G15" t="str">
        <f t="shared" si="0"/>
        <v/>
      </c>
    </row>
    <row r="16" spans="1:7" ht="15.75" thickBot="1" x14ac:dyDescent="0.3">
      <c r="A16" s="1" t="str" cm="1">
        <f t="array" ref="A16">IFERROR(INDEX(SkillFileList,ROW()),"")</f>
        <v/>
      </c>
      <c r="G16" t="str">
        <f t="shared" si="0"/>
        <v/>
      </c>
    </row>
    <row r="17" spans="1:7" ht="15.75" thickBot="1" x14ac:dyDescent="0.3">
      <c r="A17" s="1" t="str" cm="1">
        <f t="array" ref="A17">IFERROR(INDEX(SkillFileList,ROW()),"")</f>
        <v/>
      </c>
      <c r="G17" t="str">
        <f t="shared" si="0"/>
        <v/>
      </c>
    </row>
    <row r="18" spans="1:7" ht="15.75" thickBot="1" x14ac:dyDescent="0.3">
      <c r="A18" s="1" t="str" cm="1">
        <f t="array" ref="A18">IFERROR(INDEX(SkillFileList,ROW()),"")</f>
        <v/>
      </c>
      <c r="G18" t="str">
        <f t="shared" si="0"/>
        <v/>
      </c>
    </row>
    <row r="19" spans="1:7" ht="15.75" thickBot="1" x14ac:dyDescent="0.3">
      <c r="A19" s="1" t="str" cm="1">
        <f t="array" ref="A19">IFERROR(INDEX(SkillFileList,ROW()),"")</f>
        <v/>
      </c>
      <c r="G19" t="str">
        <f t="shared" si="0"/>
        <v/>
      </c>
    </row>
    <row r="20" spans="1:7" ht="15.75" thickBot="1" x14ac:dyDescent="0.3">
      <c r="A20" s="1" t="str" cm="1">
        <f t="array" ref="A20">IFERROR(INDEX(SkillFileList,ROW()),"")</f>
        <v/>
      </c>
      <c r="G20" t="str">
        <f t="shared" si="0"/>
        <v/>
      </c>
    </row>
    <row r="21" spans="1:7" ht="15.75" thickBot="1" x14ac:dyDescent="0.3">
      <c r="A21" s="1" t="str" cm="1">
        <f t="array" ref="A21">IFERROR(INDEX(SkillFileList,ROW()),"")</f>
        <v/>
      </c>
      <c r="G21" t="str">
        <f t="shared" si="0"/>
        <v/>
      </c>
    </row>
    <row r="22" spans="1:7" ht="15.75" thickBot="1" x14ac:dyDescent="0.3">
      <c r="A22" s="1" t="str" cm="1">
        <f t="array" ref="A22">IFERROR(INDEX(SkillFileList,ROW()),"")</f>
        <v/>
      </c>
      <c r="G22" t="str">
        <f t="shared" si="0"/>
        <v/>
      </c>
    </row>
    <row r="23" spans="1:7" ht="15.75" thickBot="1" x14ac:dyDescent="0.3">
      <c r="A23" s="1" t="str" cm="1">
        <f t="array" ref="A23">IFERROR(INDEX(SkillFileList,ROW()),"")</f>
        <v/>
      </c>
      <c r="G23" t="str">
        <f t="shared" si="0"/>
        <v/>
      </c>
    </row>
    <row r="24" spans="1:7" ht="15.75" thickBot="1" x14ac:dyDescent="0.3">
      <c r="A24" s="1" t="str" cm="1">
        <f t="array" ref="A24">IFERROR(INDEX(SkillFileList,ROW()),"")</f>
        <v/>
      </c>
      <c r="G24" t="str">
        <f t="shared" si="0"/>
        <v/>
      </c>
    </row>
    <row r="25" spans="1:7" ht="15.75" thickBot="1" x14ac:dyDescent="0.3">
      <c r="A25" s="1" t="str" cm="1">
        <f t="array" ref="A25">IFERROR(INDEX(SkillFileList,ROW()),"")</f>
        <v/>
      </c>
      <c r="G25" t="str">
        <f t="shared" si="0"/>
        <v/>
      </c>
    </row>
    <row r="26" spans="1:7" ht="15.75" thickBot="1" x14ac:dyDescent="0.3">
      <c r="A26" s="1" t="str" cm="1">
        <f t="array" ref="A26">IFERROR(INDEX(SkillFileList,ROW()),"")</f>
        <v/>
      </c>
      <c r="G26" t="str">
        <f t="shared" si="0"/>
        <v/>
      </c>
    </row>
    <row r="27" spans="1:7" ht="15.75" thickBot="1" x14ac:dyDescent="0.3">
      <c r="A27" s="1" t="str" cm="1">
        <f t="array" ref="A27">IFERROR(INDEX(SkillFileList,ROW()),"")</f>
        <v/>
      </c>
      <c r="G27" t="str">
        <f t="shared" si="0"/>
        <v/>
      </c>
    </row>
    <row r="28" spans="1:7" ht="15.75" thickBot="1" x14ac:dyDescent="0.3">
      <c r="A28" s="1" t="str" cm="1">
        <f t="array" ref="A28">IFERROR(INDEX(SkillFileList,ROW()),"")</f>
        <v/>
      </c>
      <c r="G28" t="str">
        <f t="shared" si="0"/>
        <v/>
      </c>
    </row>
    <row r="29" spans="1:7" ht="15.75" thickBot="1" x14ac:dyDescent="0.3">
      <c r="A29" s="1" t="str" cm="1">
        <f t="array" ref="A29">IFERROR(INDEX(SkillFileList,ROW()),"")</f>
        <v/>
      </c>
      <c r="G29" t="str">
        <f t="shared" si="0"/>
        <v/>
      </c>
    </row>
    <row r="30" spans="1:7" ht="15.75" thickBot="1" x14ac:dyDescent="0.3">
      <c r="A30" s="1" t="str" cm="1">
        <f t="array" ref="A30">IFERROR(INDEX(SkillFileList,ROW()),"")</f>
        <v/>
      </c>
      <c r="G30" t="str">
        <f t="shared" si="0"/>
        <v/>
      </c>
    </row>
    <row r="31" spans="1:7" ht="15.75" thickBot="1" x14ac:dyDescent="0.3">
      <c r="A31" s="1" t="str" cm="1">
        <f t="array" ref="A31">IFERROR(INDEX(SkillFileList,ROW()),"")</f>
        <v/>
      </c>
      <c r="G31" t="str">
        <f t="shared" ref="G31:G62" si="1">IF(E31&lt;&gt;"", E31, "")</f>
        <v/>
      </c>
    </row>
    <row r="32" spans="1:7" ht="15.75" thickBot="1" x14ac:dyDescent="0.3">
      <c r="A32" s="1" t="str" cm="1">
        <f t="array" ref="A32">IFERROR(INDEX(SkillFileList,ROW()),"")</f>
        <v/>
      </c>
      <c r="G32" t="str">
        <f t="shared" si="1"/>
        <v/>
      </c>
    </row>
    <row r="33" spans="1:7" ht="15.75" thickBot="1" x14ac:dyDescent="0.3">
      <c r="A33" s="1" t="str" cm="1">
        <f t="array" ref="A33">IFERROR(INDEX(SkillFileList,ROW()),"")</f>
        <v/>
      </c>
      <c r="G33" t="str">
        <f t="shared" si="1"/>
        <v/>
      </c>
    </row>
    <row r="34" spans="1:7" ht="15.75" thickBot="1" x14ac:dyDescent="0.3">
      <c r="A34" s="1" t="str" cm="1">
        <f t="array" ref="A34">IFERROR(INDEX(SkillFileList,ROW()),"")</f>
        <v/>
      </c>
      <c r="G34" t="str">
        <f t="shared" si="1"/>
        <v/>
      </c>
    </row>
    <row r="35" spans="1:7" ht="15.75" thickBot="1" x14ac:dyDescent="0.3">
      <c r="A35" s="1" t="str" cm="1">
        <f t="array" ref="A35">IFERROR(INDEX(SkillFileList,ROW()),"")</f>
        <v/>
      </c>
      <c r="G35" t="str">
        <f t="shared" si="1"/>
        <v/>
      </c>
    </row>
    <row r="36" spans="1:7" ht="15.75" thickBot="1" x14ac:dyDescent="0.3">
      <c r="A36" s="1" t="str" cm="1">
        <f t="array" ref="A36">IFERROR(INDEX(SkillFileList,ROW()),"")</f>
        <v/>
      </c>
      <c r="G36" t="str">
        <f t="shared" si="1"/>
        <v/>
      </c>
    </row>
    <row r="37" spans="1:7" ht="15.75" thickBot="1" x14ac:dyDescent="0.3">
      <c r="A37" s="1" t="str" cm="1">
        <f t="array" ref="A37">IFERROR(INDEX(SkillFileList,ROW()),"")</f>
        <v/>
      </c>
      <c r="G37" t="str">
        <f t="shared" si="1"/>
        <v/>
      </c>
    </row>
    <row r="38" spans="1:7" ht="15.75" thickBot="1" x14ac:dyDescent="0.3">
      <c r="A38" s="1" t="str" cm="1">
        <f t="array" ref="A38">IFERROR(INDEX(SkillFileList,ROW()),"")</f>
        <v/>
      </c>
      <c r="G38" t="str">
        <f t="shared" si="1"/>
        <v/>
      </c>
    </row>
    <row r="39" spans="1:7" ht="15.75" thickBot="1" x14ac:dyDescent="0.3">
      <c r="A39" s="1" t="str" cm="1">
        <f t="array" ref="A39">IFERROR(INDEX(SkillFileList,ROW()),"")</f>
        <v/>
      </c>
      <c r="G39" t="str">
        <f t="shared" si="1"/>
        <v/>
      </c>
    </row>
    <row r="40" spans="1:7" ht="15.75" thickBot="1" x14ac:dyDescent="0.3">
      <c r="A40" s="1" t="str" cm="1">
        <f t="array" ref="A40">IFERROR(INDEX(SkillFileList,ROW()),"")</f>
        <v/>
      </c>
      <c r="G40" t="str">
        <f t="shared" si="1"/>
        <v/>
      </c>
    </row>
    <row r="41" spans="1:7" ht="15.75" thickBot="1" x14ac:dyDescent="0.3">
      <c r="A41" s="1" t="str" cm="1">
        <f t="array" ref="A41">IFERROR(INDEX(SkillFileList,ROW()),"")</f>
        <v/>
      </c>
      <c r="G41" t="str">
        <f t="shared" si="1"/>
        <v/>
      </c>
    </row>
    <row r="42" spans="1:7" ht="15.75" thickBot="1" x14ac:dyDescent="0.3">
      <c r="A42" s="1" t="str" cm="1">
        <f t="array" ref="A42">IFERROR(INDEX(SkillFileList,ROW()),"")</f>
        <v/>
      </c>
      <c r="G42" t="str">
        <f t="shared" si="1"/>
        <v/>
      </c>
    </row>
    <row r="43" spans="1:7" ht="15.75" thickBot="1" x14ac:dyDescent="0.3">
      <c r="A43" s="1" t="str" cm="1">
        <f t="array" ref="A43">IFERROR(INDEX(SkillFileList,ROW()),"")</f>
        <v/>
      </c>
      <c r="G43" t="str">
        <f t="shared" si="1"/>
        <v/>
      </c>
    </row>
    <row r="44" spans="1:7" ht="15.75" thickBot="1" x14ac:dyDescent="0.3">
      <c r="A44" s="1" t="str" cm="1">
        <f t="array" ref="A44">IFERROR(INDEX(SkillFileList,ROW()),"")</f>
        <v/>
      </c>
      <c r="G44" t="str">
        <f t="shared" si="1"/>
        <v/>
      </c>
    </row>
    <row r="45" spans="1:7" ht="15.75" thickBot="1" x14ac:dyDescent="0.3">
      <c r="A45" s="1" t="str" cm="1">
        <f t="array" ref="A45">IFERROR(INDEX(SkillFileList,ROW()),"")</f>
        <v/>
      </c>
      <c r="G45" t="str">
        <f t="shared" si="1"/>
        <v/>
      </c>
    </row>
    <row r="46" spans="1:7" ht="15.75" thickBot="1" x14ac:dyDescent="0.3">
      <c r="A46" s="1" t="str" cm="1">
        <f t="array" ref="A46">IFERROR(INDEX(SkillFileList,ROW()),"")</f>
        <v/>
      </c>
      <c r="G46" t="str">
        <f t="shared" si="1"/>
        <v/>
      </c>
    </row>
    <row r="47" spans="1:7" ht="15.75" thickBot="1" x14ac:dyDescent="0.3">
      <c r="A47" s="1" t="str" cm="1">
        <f t="array" ref="A47">IFERROR(INDEX(SkillFileList,ROW()),"")</f>
        <v/>
      </c>
      <c r="G47" t="str">
        <f t="shared" si="1"/>
        <v/>
      </c>
    </row>
    <row r="48" spans="1:7" ht="15.75" thickBot="1" x14ac:dyDescent="0.3">
      <c r="A48" s="1" t="str" cm="1">
        <f t="array" ref="A48">IFERROR(INDEX(SkillFileList,ROW()),"")</f>
        <v/>
      </c>
      <c r="G48" t="str">
        <f t="shared" si="1"/>
        <v/>
      </c>
    </row>
    <row r="49" spans="1:7" ht="15.75" thickBot="1" x14ac:dyDescent="0.3">
      <c r="A49" s="1" t="str" cm="1">
        <f t="array" ref="A49">IFERROR(INDEX(SkillFileList,ROW()),"")</f>
        <v/>
      </c>
      <c r="G49" t="str">
        <f t="shared" si="1"/>
        <v/>
      </c>
    </row>
    <row r="50" spans="1:7" ht="15.75" thickBot="1" x14ac:dyDescent="0.3">
      <c r="A50" s="1" t="str" cm="1">
        <f t="array" ref="A50">IFERROR(INDEX(SkillFileList,ROW()),"")</f>
        <v/>
      </c>
      <c r="G50" t="str">
        <f t="shared" si="1"/>
        <v/>
      </c>
    </row>
    <row r="51" spans="1:7" ht="15.75" thickBot="1" x14ac:dyDescent="0.3">
      <c r="A51" s="1" t="str" cm="1">
        <f t="array" ref="A51">IFERROR(INDEX(SkillFileList,ROW()),"")</f>
        <v/>
      </c>
      <c r="G51" t="str">
        <f t="shared" si="1"/>
        <v/>
      </c>
    </row>
    <row r="52" spans="1:7" ht="15.75" thickBot="1" x14ac:dyDescent="0.3">
      <c r="A52" s="1" t="str" cm="1">
        <f t="array" ref="A52">IFERROR(INDEX(SkillFileList,ROW()),"")</f>
        <v/>
      </c>
      <c r="G52" t="str">
        <f t="shared" si="1"/>
        <v/>
      </c>
    </row>
    <row r="53" spans="1:7" ht="15.75" thickBot="1" x14ac:dyDescent="0.3">
      <c r="A53" s="1" t="str" cm="1">
        <f t="array" ref="A53">IFERROR(INDEX(SkillFileList,ROW()),"")</f>
        <v/>
      </c>
      <c r="G53" t="str">
        <f t="shared" si="1"/>
        <v/>
      </c>
    </row>
    <row r="54" spans="1:7" ht="15.75" thickBot="1" x14ac:dyDescent="0.3">
      <c r="A54" s="1" t="str" cm="1">
        <f t="array" ref="A54">IFERROR(INDEX(SkillFileList,ROW()),"")</f>
        <v/>
      </c>
      <c r="G54" t="str">
        <f t="shared" si="1"/>
        <v/>
      </c>
    </row>
    <row r="55" spans="1:7" ht="15.75" thickBot="1" x14ac:dyDescent="0.3">
      <c r="A55" s="1" t="str" cm="1">
        <f t="array" ref="A55">IFERROR(INDEX(SkillFileList,ROW()),"")</f>
        <v/>
      </c>
      <c r="G55" t="str">
        <f t="shared" si="1"/>
        <v/>
      </c>
    </row>
    <row r="56" spans="1:7" ht="15.75" thickBot="1" x14ac:dyDescent="0.3">
      <c r="A56" s="1" t="str" cm="1">
        <f t="array" ref="A56">IFERROR(INDEX(SkillFileList,ROW()),"")</f>
        <v/>
      </c>
      <c r="G56" t="str">
        <f t="shared" si="1"/>
        <v/>
      </c>
    </row>
    <row r="57" spans="1:7" ht="15.75" thickBot="1" x14ac:dyDescent="0.3">
      <c r="A57" s="1" t="str" cm="1">
        <f t="array" ref="A57">IFERROR(INDEX(SkillFileList,ROW()),"")</f>
        <v/>
      </c>
      <c r="G57" t="str">
        <f t="shared" si="1"/>
        <v/>
      </c>
    </row>
    <row r="58" spans="1:7" ht="15.75" thickBot="1" x14ac:dyDescent="0.3">
      <c r="A58" s="1" t="str" cm="1">
        <f t="array" ref="A58">IFERROR(INDEX(SkillFileList,ROW()),"")</f>
        <v/>
      </c>
      <c r="G58" t="str">
        <f t="shared" si="1"/>
        <v/>
      </c>
    </row>
    <row r="59" spans="1:7" ht="15.75" thickBot="1" x14ac:dyDescent="0.3">
      <c r="A59" s="1" t="str" cm="1">
        <f t="array" ref="A59">IFERROR(INDEX(SkillFileList,ROW()),"")</f>
        <v/>
      </c>
      <c r="G59" t="str">
        <f t="shared" si="1"/>
        <v/>
      </c>
    </row>
    <row r="60" spans="1:7" ht="15.75" thickBot="1" x14ac:dyDescent="0.3">
      <c r="A60" s="1" t="str" cm="1">
        <f t="array" ref="A60">IFERROR(INDEX(SkillFileList,ROW()),"")</f>
        <v/>
      </c>
      <c r="G60" t="str">
        <f t="shared" si="1"/>
        <v/>
      </c>
    </row>
    <row r="61" spans="1:7" ht="15.75" thickBot="1" x14ac:dyDescent="0.3">
      <c r="A61" s="1" t="str" cm="1">
        <f t="array" ref="A61">IFERROR(INDEX(SkillFileList,ROW()),"")</f>
        <v/>
      </c>
      <c r="G61" t="str">
        <f t="shared" si="1"/>
        <v/>
      </c>
    </row>
    <row r="62" spans="1:7" ht="15.75" thickBot="1" x14ac:dyDescent="0.3">
      <c r="A62" s="1" t="str" cm="1">
        <f t="array" ref="A62">IFERROR(INDEX(SkillFileList,ROW()),"")</f>
        <v/>
      </c>
      <c r="G62" t="str">
        <f t="shared" si="1"/>
        <v/>
      </c>
    </row>
    <row r="63" spans="1:7" ht="15.75" thickBot="1" x14ac:dyDescent="0.3">
      <c r="A63" s="1" t="str" cm="1">
        <f t="array" ref="A63">IFERROR(INDEX(SkillFileList,ROW()),"")</f>
        <v/>
      </c>
      <c r="G63" t="str">
        <f t="shared" ref="G63:G94" si="2">IF(E63&lt;&gt;"", E63, "")</f>
        <v/>
      </c>
    </row>
    <row r="64" spans="1:7" ht="15.75" thickBot="1" x14ac:dyDescent="0.3">
      <c r="A64" s="1" t="str" cm="1">
        <f t="array" ref="A64">IFERROR(INDEX(SkillFileList,ROW()),"")</f>
        <v/>
      </c>
      <c r="G64" t="str">
        <f t="shared" si="2"/>
        <v/>
      </c>
    </row>
    <row r="65" spans="1:7" ht="15.75" thickBot="1" x14ac:dyDescent="0.3">
      <c r="A65" s="1" t="str" cm="1">
        <f t="array" ref="A65">IFERROR(INDEX(SkillFileList,ROW()),"")</f>
        <v/>
      </c>
      <c r="G65" t="str">
        <f t="shared" si="2"/>
        <v/>
      </c>
    </row>
    <row r="66" spans="1:7" ht="15.75" thickBot="1" x14ac:dyDescent="0.3">
      <c r="A66" s="1" t="str" cm="1">
        <f t="array" ref="A66">IFERROR(INDEX(SkillFileList,ROW()),"")</f>
        <v/>
      </c>
      <c r="G66" t="str">
        <f t="shared" si="2"/>
        <v/>
      </c>
    </row>
    <row r="67" spans="1:7" ht="15.75" thickBot="1" x14ac:dyDescent="0.3">
      <c r="A67" s="1" t="str" cm="1">
        <f t="array" ref="A67">IFERROR(INDEX(SkillFileList,ROW()),"")</f>
        <v/>
      </c>
      <c r="G67" t="str">
        <f t="shared" si="2"/>
        <v/>
      </c>
    </row>
    <row r="68" spans="1:7" ht="15.75" thickBot="1" x14ac:dyDescent="0.3">
      <c r="A68" s="1" t="str" cm="1">
        <f t="array" ref="A68">IFERROR(INDEX(SkillFileList,ROW()),"")</f>
        <v/>
      </c>
      <c r="G68" t="str">
        <f t="shared" si="2"/>
        <v/>
      </c>
    </row>
    <row r="69" spans="1:7" ht="15.75" thickBot="1" x14ac:dyDescent="0.3">
      <c r="A69" s="1" t="str" cm="1">
        <f t="array" ref="A69">IFERROR(INDEX(SkillFileList,ROW()),"")</f>
        <v/>
      </c>
      <c r="G69" t="str">
        <f t="shared" si="2"/>
        <v/>
      </c>
    </row>
    <row r="70" spans="1:7" ht="15.75" thickBot="1" x14ac:dyDescent="0.3">
      <c r="A70" s="1" t="str" cm="1">
        <f t="array" ref="A70">IFERROR(INDEX(SkillFileList,ROW()),"")</f>
        <v/>
      </c>
      <c r="G70" t="str">
        <f t="shared" si="2"/>
        <v/>
      </c>
    </row>
    <row r="71" spans="1:7" ht="15.75" thickBot="1" x14ac:dyDescent="0.3">
      <c r="A71" s="1" t="str" cm="1">
        <f t="array" ref="A71">IFERROR(INDEX(SkillFileList,ROW()),"")</f>
        <v/>
      </c>
      <c r="G71" t="str">
        <f t="shared" si="2"/>
        <v/>
      </c>
    </row>
    <row r="72" spans="1:7" ht="15.75" thickBot="1" x14ac:dyDescent="0.3">
      <c r="A72" s="1" t="str" cm="1">
        <f t="array" ref="A72">IFERROR(INDEX(SkillFileList,ROW()),"")</f>
        <v/>
      </c>
      <c r="G72" t="str">
        <f t="shared" si="2"/>
        <v/>
      </c>
    </row>
    <row r="73" spans="1:7" ht="15.75" thickBot="1" x14ac:dyDescent="0.3">
      <c r="A73" s="1" t="str" cm="1">
        <f t="array" ref="A73">IFERROR(INDEX(SkillFileList,ROW()),"")</f>
        <v/>
      </c>
      <c r="G73" t="str">
        <f t="shared" si="2"/>
        <v/>
      </c>
    </row>
    <row r="74" spans="1:7" ht="15.75" thickBot="1" x14ac:dyDescent="0.3">
      <c r="A74" s="1" t="str" cm="1">
        <f t="array" ref="A74">IFERROR(INDEX(SkillFileList,ROW()),"")</f>
        <v/>
      </c>
      <c r="G74" t="str">
        <f t="shared" si="2"/>
        <v/>
      </c>
    </row>
    <row r="75" spans="1:7" ht="15.75" thickBot="1" x14ac:dyDescent="0.3">
      <c r="A75" s="1" t="str" cm="1">
        <f t="array" ref="A75">IFERROR(INDEX(SkillFileList,ROW()),"")</f>
        <v/>
      </c>
      <c r="G75" t="str">
        <f t="shared" si="2"/>
        <v/>
      </c>
    </row>
    <row r="76" spans="1:7" ht="15.75" thickBot="1" x14ac:dyDescent="0.3">
      <c r="A76" s="1" t="str" cm="1">
        <f t="array" ref="A76">IFERROR(INDEX(SkillFileList,ROW()),"")</f>
        <v/>
      </c>
      <c r="G76" t="str">
        <f t="shared" si="2"/>
        <v/>
      </c>
    </row>
    <row r="77" spans="1:7" ht="15.75" thickBot="1" x14ac:dyDescent="0.3">
      <c r="A77" s="1" t="str" cm="1">
        <f t="array" ref="A77">IFERROR(INDEX(SkillFileList,ROW()),"")</f>
        <v/>
      </c>
      <c r="G77" t="str">
        <f t="shared" si="2"/>
        <v/>
      </c>
    </row>
    <row r="78" spans="1:7" ht="15.75" thickBot="1" x14ac:dyDescent="0.3">
      <c r="A78" s="1" t="str" cm="1">
        <f t="array" ref="A78">IFERROR(INDEX(SkillFileList,ROW()),"")</f>
        <v/>
      </c>
      <c r="G78" t="str">
        <f t="shared" si="2"/>
        <v/>
      </c>
    </row>
    <row r="79" spans="1:7" ht="15.75" thickBot="1" x14ac:dyDescent="0.3">
      <c r="A79" s="1" t="str" cm="1">
        <f t="array" ref="A79">IFERROR(INDEX(SkillFileList,ROW()),"")</f>
        <v/>
      </c>
      <c r="G79" t="str">
        <f t="shared" si="2"/>
        <v/>
      </c>
    </row>
    <row r="80" spans="1:7" ht="15.75" thickBot="1" x14ac:dyDescent="0.3">
      <c r="A80" s="1" t="str" cm="1">
        <f t="array" ref="A80">IFERROR(INDEX(SkillFileList,ROW()),"")</f>
        <v/>
      </c>
      <c r="G80" t="str">
        <f t="shared" si="2"/>
        <v/>
      </c>
    </row>
    <row r="81" spans="1:7" ht="15.75" thickBot="1" x14ac:dyDescent="0.3">
      <c r="A81" s="1" t="str" cm="1">
        <f t="array" ref="A81">IFERROR(INDEX(SkillFileList,ROW()),"")</f>
        <v/>
      </c>
      <c r="G81" t="str">
        <f t="shared" si="2"/>
        <v/>
      </c>
    </row>
    <row r="82" spans="1:7" ht="15.75" thickBot="1" x14ac:dyDescent="0.3">
      <c r="A82" s="1" t="str" cm="1">
        <f t="array" ref="A82">IFERROR(INDEX(SkillFileList,ROW()),"")</f>
        <v/>
      </c>
      <c r="G82" t="str">
        <f t="shared" si="2"/>
        <v/>
      </c>
    </row>
    <row r="83" spans="1:7" ht="15.75" thickBot="1" x14ac:dyDescent="0.3">
      <c r="A83" s="1" t="str" cm="1">
        <f t="array" ref="A83">IFERROR(INDEX(SkillFileList,ROW()),"")</f>
        <v/>
      </c>
      <c r="G83" t="str">
        <f t="shared" si="2"/>
        <v/>
      </c>
    </row>
    <row r="84" spans="1:7" ht="15.75" thickBot="1" x14ac:dyDescent="0.3">
      <c r="A84" s="1" t="str" cm="1">
        <f t="array" ref="A84">IFERROR(INDEX(SkillFileList,ROW()),"")</f>
        <v/>
      </c>
      <c r="G84" t="str">
        <f t="shared" si="2"/>
        <v/>
      </c>
    </row>
    <row r="85" spans="1:7" ht="15.75" thickBot="1" x14ac:dyDescent="0.3">
      <c r="A85" s="1" t="str" cm="1">
        <f t="array" ref="A85">IFERROR(INDEX(SkillFileList,ROW()),"")</f>
        <v/>
      </c>
      <c r="G85" t="str">
        <f t="shared" si="2"/>
        <v/>
      </c>
    </row>
    <row r="86" spans="1:7" ht="15.75" thickBot="1" x14ac:dyDescent="0.3">
      <c r="A86" s="1" t="str" cm="1">
        <f t="array" ref="A86">IFERROR(INDEX(SkillFileList,ROW()),"")</f>
        <v/>
      </c>
      <c r="G86" t="str">
        <f t="shared" si="2"/>
        <v/>
      </c>
    </row>
    <row r="87" spans="1:7" ht="15.75" thickBot="1" x14ac:dyDescent="0.3">
      <c r="A87" s="1" t="str" cm="1">
        <f t="array" ref="A87">IFERROR(INDEX(SkillFileList,ROW()),"")</f>
        <v/>
      </c>
      <c r="G87" t="str">
        <f t="shared" si="2"/>
        <v/>
      </c>
    </row>
    <row r="88" spans="1:7" ht="15.75" thickBot="1" x14ac:dyDescent="0.3">
      <c r="A88" s="1" t="str" cm="1">
        <f t="array" ref="A88">IFERROR(INDEX(SkillFileList,ROW()),"")</f>
        <v/>
      </c>
      <c r="G88" t="str">
        <f t="shared" si="2"/>
        <v/>
      </c>
    </row>
    <row r="89" spans="1:7" ht="15.75" thickBot="1" x14ac:dyDescent="0.3">
      <c r="A89" s="1" t="str" cm="1">
        <f t="array" ref="A89">IFERROR(INDEX(SkillFileList,ROW()),"")</f>
        <v/>
      </c>
      <c r="G89" t="str">
        <f t="shared" si="2"/>
        <v/>
      </c>
    </row>
    <row r="90" spans="1:7" ht="15.75" thickBot="1" x14ac:dyDescent="0.3">
      <c r="A90" s="1" t="str" cm="1">
        <f t="array" ref="A90">IFERROR(INDEX(SkillFileList,ROW()),"")</f>
        <v/>
      </c>
      <c r="G90" t="str">
        <f t="shared" si="2"/>
        <v/>
      </c>
    </row>
    <row r="91" spans="1:7" ht="15.75" thickBot="1" x14ac:dyDescent="0.3">
      <c r="A91" s="1" t="str" cm="1">
        <f t="array" ref="A91">IFERROR(INDEX(SkillFileList,ROW()),"")</f>
        <v/>
      </c>
      <c r="G91" t="str">
        <f t="shared" si="2"/>
        <v/>
      </c>
    </row>
    <row r="92" spans="1:7" ht="15.75" thickBot="1" x14ac:dyDescent="0.3">
      <c r="A92" s="1" t="str" cm="1">
        <f t="array" ref="A92">IFERROR(INDEX(SkillFileList,ROW()),"")</f>
        <v/>
      </c>
      <c r="G92" t="str">
        <f t="shared" si="2"/>
        <v/>
      </c>
    </row>
    <row r="93" spans="1:7" ht="15.75" thickBot="1" x14ac:dyDescent="0.3">
      <c r="A93" s="1" t="str" cm="1">
        <f t="array" ref="A93">IFERROR(INDEX(SkillFileList,ROW()),"")</f>
        <v/>
      </c>
      <c r="G93" t="str">
        <f t="shared" si="2"/>
        <v/>
      </c>
    </row>
    <row r="94" spans="1:7" ht="15.75" thickBot="1" x14ac:dyDescent="0.3">
      <c r="A94" s="1" t="str" cm="1">
        <f t="array" ref="A94">IFERROR(INDEX(SkillFileList,ROW()),"")</f>
        <v/>
      </c>
      <c r="G94" t="str">
        <f t="shared" si="2"/>
        <v/>
      </c>
    </row>
    <row r="95" spans="1:7" ht="15.75" thickBot="1" x14ac:dyDescent="0.3">
      <c r="A95" s="1" t="str" cm="1">
        <f t="array" ref="A95">IFERROR(INDEX(SkillFileList,ROW()),"")</f>
        <v/>
      </c>
      <c r="G95" t="str">
        <f t="shared" ref="G95:G100" si="3">IF(E95&lt;&gt;"", E95, "")</f>
        <v/>
      </c>
    </row>
    <row r="96" spans="1:7" ht="15.75" thickBot="1" x14ac:dyDescent="0.3">
      <c r="A96" s="1" t="str" cm="1">
        <f t="array" ref="A96">IFERROR(INDEX(SkillFileList,ROW()),"")</f>
        <v/>
      </c>
      <c r="G96" t="str">
        <f t="shared" si="3"/>
        <v/>
      </c>
    </row>
    <row r="97" spans="1:7" ht="15.75" thickBot="1" x14ac:dyDescent="0.3">
      <c r="A97" s="1" t="str" cm="1">
        <f t="array" ref="A97">IFERROR(INDEX(SkillFileList,ROW()),"")</f>
        <v/>
      </c>
      <c r="G97" t="str">
        <f t="shared" si="3"/>
        <v/>
      </c>
    </row>
    <row r="98" spans="1:7" ht="15.75" thickBot="1" x14ac:dyDescent="0.3">
      <c r="A98" s="1" t="str" cm="1">
        <f t="array" ref="A98">IFERROR(INDEX(SkillFileList,ROW()),"")</f>
        <v/>
      </c>
      <c r="G98" t="str">
        <f t="shared" si="3"/>
        <v/>
      </c>
    </row>
    <row r="99" spans="1:7" ht="15.75" thickBot="1" x14ac:dyDescent="0.3">
      <c r="A99" s="1" t="str" cm="1">
        <f t="array" ref="A99">IFERROR(INDEX(SkillFileList,ROW()),"")</f>
        <v/>
      </c>
      <c r="G99" t="str">
        <f t="shared" si="3"/>
        <v/>
      </c>
    </row>
    <row r="100" spans="1:7" x14ac:dyDescent="0.25">
      <c r="A100" s="1" t="str" cm="1">
        <f t="array" ref="A100">IFERROR(INDEX(SkillFileList,ROW()),"")</f>
        <v/>
      </c>
      <c r="G100" t="str">
        <f t="shared" si="3"/>
        <v/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BC3A4-FF51-4E09-B845-E7B7C876A68E}">
  <dimension ref="A1:I100"/>
  <sheetViews>
    <sheetView topLeftCell="A75" workbookViewId="0">
      <selection activeCell="C97" sqref="C97"/>
    </sheetView>
  </sheetViews>
  <sheetFormatPr defaultRowHeight="15" x14ac:dyDescent="0.25"/>
  <cols>
    <col min="1" max="1" width="34.85546875" customWidth="1"/>
    <col min="5" max="5" width="18.7109375" customWidth="1"/>
    <col min="7" max="7" width="20.5703125" customWidth="1"/>
    <col min="9" max="9" width="11.28515625" bestFit="1" customWidth="1"/>
  </cols>
  <sheetData>
    <row r="1" spans="1:9" ht="15.75" thickBot="1" x14ac:dyDescent="0.3">
      <c r="A1" s="2" t="str" cm="1">
        <f t="array" ref="A1">IFERROR(INDEX(StatusEffectFileList,ROW()),"")</f>
        <v>Accuracy Malus.xlsx</v>
      </c>
      <c r="C1" t="s">
        <v>6</v>
      </c>
      <c r="G1" t="s">
        <v>8</v>
      </c>
    </row>
    <row r="2" spans="1:9" ht="18" thickBot="1" x14ac:dyDescent="0.35">
      <c r="A2" s="2" t="str" cm="1">
        <f t="array" ref="A2">IFERROR(INDEX(StatusEffectFileList,ROW()),"")</f>
        <v>Accuracy Malus.xlsx.meta</v>
      </c>
      <c r="C2" t="s">
        <v>9</v>
      </c>
      <c r="E2" t="str" cm="1">
        <f t="array" ref="E2">_xlfn._xlws.FILTER(A1:A100,RIGHT(A1:A100,LEN(Table41314[[#This Row],[Regex]]))=Table41314[[#This Row],[Regex]],"No Results!")</f>
        <v>Accuracy Malus.xlsx</v>
      </c>
      <c r="G2" t="str">
        <f>IF(E2&lt;&gt;"", LEFT(E2,LEN(E2)-LEN(Table41314[[#This Row],[Regex]])), "")</f>
        <v>Accuracy Malus</v>
      </c>
      <c r="I2" s="3"/>
    </row>
    <row r="3" spans="1:9" ht="15.75" thickBot="1" x14ac:dyDescent="0.3">
      <c r="A3" s="2" t="str" cm="1">
        <f t="array" ref="A3">IFERROR(INDEX(StatusEffectFileList,ROW()),"")</f>
        <v/>
      </c>
      <c r="G3" t="str">
        <f>IF(E3&lt;&gt;"", LEFT(E3,LEN(E3)-LEN(Table41314[[#This Row],[Regex]])), "")</f>
        <v/>
      </c>
    </row>
    <row r="4" spans="1:9" ht="15.75" thickBot="1" x14ac:dyDescent="0.3">
      <c r="A4" s="2" t="str" cm="1">
        <f t="array" ref="A4">IFERROR(INDEX(StatusEffectFileList,ROW()),"")</f>
        <v/>
      </c>
      <c r="G4" t="str">
        <f>IF(E4&lt;&gt;"", LEFT(E4,LEN(E4)-LEN(Table41314[[#This Row],[Regex]])), "")</f>
        <v/>
      </c>
    </row>
    <row r="5" spans="1:9" ht="15.75" thickBot="1" x14ac:dyDescent="0.3">
      <c r="A5" s="2" t="str" cm="1">
        <f t="array" ref="A5">IFERROR(INDEX(StatusEffectFileList,ROW()),"")</f>
        <v/>
      </c>
      <c r="G5" t="str">
        <f>IF(E5&lt;&gt;"", LEFT(E5,LEN(E5)-LEN(Table41314[[#This Row],[Regex]])), "")</f>
        <v/>
      </c>
    </row>
    <row r="6" spans="1:9" ht="15.75" thickBot="1" x14ac:dyDescent="0.3">
      <c r="A6" s="2" t="str" cm="1">
        <f t="array" ref="A6">IFERROR(INDEX(StatusEffectFileList,ROW()),"")</f>
        <v/>
      </c>
      <c r="G6" t="str">
        <f>IF(E6&lt;&gt;"", LEFT(E6,LEN(E6)-LEN(Table41314[[#This Row],[Regex]])), "")</f>
        <v/>
      </c>
    </row>
    <row r="7" spans="1:9" ht="15.75" thickBot="1" x14ac:dyDescent="0.3">
      <c r="A7" s="2" t="str" cm="1">
        <f t="array" ref="A7">IFERROR(INDEX(StatusEffectFileList,ROW()),"")</f>
        <v/>
      </c>
      <c r="G7" t="str">
        <f>IF(E7&lt;&gt;"", LEFT(E7,LEN(E7)-LEN(Table41314[[#This Row],[Regex]])), "")</f>
        <v/>
      </c>
    </row>
    <row r="8" spans="1:9" ht="15.75" thickBot="1" x14ac:dyDescent="0.3">
      <c r="A8" s="2" t="str" cm="1">
        <f t="array" ref="A8">IFERROR(INDEX(StatusEffectFileList,ROW()),"")</f>
        <v/>
      </c>
      <c r="G8" t="str">
        <f>IF(E8&lt;&gt;"", LEFT(E8,LEN(E8)-LEN(Table41314[[#This Row],[Regex]])), "")</f>
        <v/>
      </c>
    </row>
    <row r="9" spans="1:9" ht="15.75" thickBot="1" x14ac:dyDescent="0.3">
      <c r="A9" s="2" t="str" cm="1">
        <f t="array" ref="A9">IFERROR(INDEX(StatusEffectFileList,ROW()),"")</f>
        <v/>
      </c>
      <c r="G9" t="str">
        <f>IF(E9&lt;&gt;"", LEFT(E9,LEN(E9)-LEN(Table41314[[#This Row],[Regex]])), "")</f>
        <v/>
      </c>
    </row>
    <row r="10" spans="1:9" ht="15.75" thickBot="1" x14ac:dyDescent="0.3">
      <c r="A10" s="2" t="str" cm="1">
        <f t="array" ref="A10">IFERROR(INDEX(StatusEffectFileList,ROW()),"")</f>
        <v/>
      </c>
      <c r="G10" t="str">
        <f>IF(E10&lt;&gt;"", LEFT(E10,LEN(E10)-LEN(Table41314[[#This Row],[Regex]])), "")</f>
        <v/>
      </c>
    </row>
    <row r="11" spans="1:9" ht="15.75" thickBot="1" x14ac:dyDescent="0.3">
      <c r="A11" s="2" t="str" cm="1">
        <f t="array" ref="A11">IFERROR(INDEX(StatusEffectFileList,ROW()),"")</f>
        <v/>
      </c>
      <c r="G11" t="str">
        <f>IF(E11&lt;&gt;"", LEFT(E11,LEN(E11)-LEN(Table41314[[#This Row],[Regex]])), "")</f>
        <v/>
      </c>
    </row>
    <row r="12" spans="1:9" ht="15.75" thickBot="1" x14ac:dyDescent="0.3">
      <c r="A12" s="2" t="str" cm="1">
        <f t="array" ref="A12">IFERROR(INDEX(StatusEffectFileList,ROW()),"")</f>
        <v/>
      </c>
      <c r="G12" t="str">
        <f>IF(E12&lt;&gt;"", LEFT(E12,LEN(E12)-LEN(Table41314[[#This Row],[Regex]])), "")</f>
        <v/>
      </c>
    </row>
    <row r="13" spans="1:9" ht="15.75" thickBot="1" x14ac:dyDescent="0.3">
      <c r="A13" s="2" t="str" cm="1">
        <f t="array" ref="A13">IFERROR(INDEX(StatusEffectFileList,ROW()),"")</f>
        <v/>
      </c>
      <c r="G13" t="str">
        <f>IF(E13&lt;&gt;"", LEFT(E13,LEN(E13)-LEN(Table41314[[#This Row],[Regex]])), "")</f>
        <v/>
      </c>
    </row>
    <row r="14" spans="1:9" ht="15.75" thickBot="1" x14ac:dyDescent="0.3">
      <c r="A14" s="2" t="str" cm="1">
        <f t="array" ref="A14">IFERROR(INDEX(StatusEffectFileList,ROW()),"")</f>
        <v/>
      </c>
      <c r="G14" t="str">
        <f>IF(E14&lt;&gt;"", LEFT(E14,LEN(E14)-LEN(Table41314[[#This Row],[Regex]])), "")</f>
        <v/>
      </c>
    </row>
    <row r="15" spans="1:9" ht="15.75" thickBot="1" x14ac:dyDescent="0.3">
      <c r="A15" s="2" t="str" cm="1">
        <f t="array" ref="A15">IFERROR(INDEX(StatusEffectFileList,ROW()),"")</f>
        <v/>
      </c>
      <c r="G15" t="str">
        <f>IF(E15&lt;&gt;"", LEFT(E15,LEN(E15)-LEN(Table41314[[#This Row],[Regex]])), "")</f>
        <v/>
      </c>
    </row>
    <row r="16" spans="1:9" ht="15.75" thickBot="1" x14ac:dyDescent="0.3">
      <c r="A16" s="2" t="str" cm="1">
        <f t="array" ref="A16">IFERROR(INDEX(StatusEffectFileList,ROW()),"")</f>
        <v/>
      </c>
      <c r="G16" t="str">
        <f>IF(E16&lt;&gt;"", LEFT(E16,LEN(E16)-LEN(Table41314[[#This Row],[Regex]])), "")</f>
        <v/>
      </c>
    </row>
    <row r="17" spans="1:7" ht="15.75" thickBot="1" x14ac:dyDescent="0.3">
      <c r="A17" s="2" t="str" cm="1">
        <f t="array" ref="A17">IFERROR(INDEX(StatusEffectFileList,ROW()),"")</f>
        <v/>
      </c>
      <c r="G17" t="str">
        <f>IF(E17&lt;&gt;"", LEFT(E17,LEN(E17)-LEN(Table41314[[#This Row],[Regex]])), "")</f>
        <v/>
      </c>
    </row>
    <row r="18" spans="1:7" ht="15.75" thickBot="1" x14ac:dyDescent="0.3">
      <c r="A18" s="2" t="str" cm="1">
        <f t="array" ref="A18">IFERROR(INDEX(StatusEffectFileList,ROW()),"")</f>
        <v/>
      </c>
      <c r="G18" t="str">
        <f>IF(E18&lt;&gt;"", LEFT(E18,LEN(E18)-LEN(Table41314[[#This Row],[Regex]])), "")</f>
        <v/>
      </c>
    </row>
    <row r="19" spans="1:7" ht="15.75" thickBot="1" x14ac:dyDescent="0.3">
      <c r="A19" s="2" t="str" cm="1">
        <f t="array" ref="A19">IFERROR(INDEX(StatusEffectFileList,ROW()),"")</f>
        <v/>
      </c>
      <c r="G19" t="str">
        <f>IF(E19&lt;&gt;"", LEFT(E19,LEN(E19)-LEN(Table41314[[#This Row],[Regex]])), "")</f>
        <v/>
      </c>
    </row>
    <row r="20" spans="1:7" ht="15.75" thickBot="1" x14ac:dyDescent="0.3">
      <c r="A20" s="2" t="str" cm="1">
        <f t="array" ref="A20">IFERROR(INDEX(StatusEffectFileList,ROW()),"")</f>
        <v/>
      </c>
      <c r="G20" t="str">
        <f>IF(E20&lt;&gt;"", LEFT(E20,LEN(E20)-LEN(Table41314[[#This Row],[Regex]])), "")</f>
        <v/>
      </c>
    </row>
    <row r="21" spans="1:7" ht="15.75" thickBot="1" x14ac:dyDescent="0.3">
      <c r="A21" s="2" t="str" cm="1">
        <f t="array" ref="A21">IFERROR(INDEX(StatusEffectFileList,ROW()),"")</f>
        <v/>
      </c>
      <c r="G21" t="str">
        <f>IF(E21&lt;&gt;"", LEFT(E21,LEN(E21)-LEN(Table41314[[#This Row],[Regex]])), "")</f>
        <v/>
      </c>
    </row>
    <row r="22" spans="1:7" ht="15.75" thickBot="1" x14ac:dyDescent="0.3">
      <c r="A22" s="2" t="str" cm="1">
        <f t="array" ref="A22">IFERROR(INDEX(StatusEffectFileList,ROW()),"")</f>
        <v/>
      </c>
      <c r="G22" t="str">
        <f>IF(E22&lt;&gt;"", LEFT(E22,LEN(E22)-LEN(Table41314[[#This Row],[Regex]])), "")</f>
        <v/>
      </c>
    </row>
    <row r="23" spans="1:7" ht="15.75" thickBot="1" x14ac:dyDescent="0.3">
      <c r="A23" s="2" t="str" cm="1">
        <f t="array" ref="A23">IFERROR(INDEX(StatusEffectFileList,ROW()),"")</f>
        <v/>
      </c>
      <c r="G23" t="str">
        <f>IF(E23&lt;&gt;"", LEFT(E23,LEN(E23)-LEN(Table41314[[#This Row],[Regex]])), "")</f>
        <v/>
      </c>
    </row>
    <row r="24" spans="1:7" ht="15.75" thickBot="1" x14ac:dyDescent="0.3">
      <c r="A24" s="2" t="str" cm="1">
        <f t="array" ref="A24">IFERROR(INDEX(StatusEffectFileList,ROW()),"")</f>
        <v/>
      </c>
      <c r="G24" t="str">
        <f>IF(E24&lt;&gt;"", LEFT(E24,LEN(E24)-LEN(Table41314[[#This Row],[Regex]])), "")</f>
        <v/>
      </c>
    </row>
    <row r="25" spans="1:7" ht="15.75" thickBot="1" x14ac:dyDescent="0.3">
      <c r="A25" s="2" t="str" cm="1">
        <f t="array" ref="A25">IFERROR(INDEX(StatusEffectFileList,ROW()),"")</f>
        <v/>
      </c>
      <c r="G25" t="str">
        <f>IF(E25&lt;&gt;"", LEFT(E25,LEN(E25)-LEN(Table41314[[#This Row],[Regex]])), "")</f>
        <v/>
      </c>
    </row>
    <row r="26" spans="1:7" ht="15.75" thickBot="1" x14ac:dyDescent="0.3">
      <c r="A26" s="2" t="str" cm="1">
        <f t="array" ref="A26">IFERROR(INDEX(StatusEffectFileList,ROW()),"")</f>
        <v/>
      </c>
      <c r="G26" t="str">
        <f>IF(E26&lt;&gt;"", LEFT(E26,LEN(E26)-LEN(Table41314[[#This Row],[Regex]])), "")</f>
        <v/>
      </c>
    </row>
    <row r="27" spans="1:7" ht="15.75" thickBot="1" x14ac:dyDescent="0.3">
      <c r="A27" s="2" t="str" cm="1">
        <f t="array" ref="A27">IFERROR(INDEX(StatusEffectFileList,ROW()),"")</f>
        <v/>
      </c>
      <c r="G27" t="str">
        <f>IF(E27&lt;&gt;"", LEFT(E27,LEN(E27)-LEN(Table41314[[#This Row],[Regex]])), "")</f>
        <v/>
      </c>
    </row>
    <row r="28" spans="1:7" ht="15.75" thickBot="1" x14ac:dyDescent="0.3">
      <c r="A28" s="2" t="str" cm="1">
        <f t="array" ref="A28">IFERROR(INDEX(StatusEffectFileList,ROW()),"")</f>
        <v/>
      </c>
      <c r="G28" t="str">
        <f>IF(E28&lt;&gt;"", LEFT(E28,LEN(E28)-LEN(Table41314[[#This Row],[Regex]])), "")</f>
        <v/>
      </c>
    </row>
    <row r="29" spans="1:7" ht="15.75" thickBot="1" x14ac:dyDescent="0.3">
      <c r="A29" s="2" t="str" cm="1">
        <f t="array" ref="A29">IFERROR(INDEX(StatusEffectFileList,ROW()),"")</f>
        <v/>
      </c>
      <c r="G29" t="str">
        <f>IF(E29&lt;&gt;"", LEFT(E29,LEN(E29)-LEN(Table41314[[#This Row],[Regex]])), "")</f>
        <v/>
      </c>
    </row>
    <row r="30" spans="1:7" ht="15.75" thickBot="1" x14ac:dyDescent="0.3">
      <c r="A30" s="2" t="str" cm="1">
        <f t="array" ref="A30">IFERROR(INDEX(StatusEffectFileList,ROW()),"")</f>
        <v/>
      </c>
      <c r="G30" t="str">
        <f>IF(E30&lt;&gt;"", LEFT(E30,LEN(E30)-LEN(Table41314[[#This Row],[Regex]])), "")</f>
        <v/>
      </c>
    </row>
    <row r="31" spans="1:7" ht="15.75" thickBot="1" x14ac:dyDescent="0.3">
      <c r="A31" s="2" t="str" cm="1">
        <f t="array" ref="A31">IFERROR(INDEX(StatusEffectFileList,ROW()),"")</f>
        <v/>
      </c>
    </row>
    <row r="32" spans="1:7" ht="15.75" thickBot="1" x14ac:dyDescent="0.3">
      <c r="A32" s="2" t="str" cm="1">
        <f t="array" ref="A32">IFERROR(INDEX(StatusEffectFileList,ROW()),"")</f>
        <v/>
      </c>
    </row>
    <row r="33" spans="1:1" ht="15.75" thickBot="1" x14ac:dyDescent="0.3">
      <c r="A33" s="2" t="str" cm="1">
        <f t="array" ref="A33">IFERROR(INDEX(StatusEffectFileList,ROW()),"")</f>
        <v/>
      </c>
    </row>
    <row r="34" spans="1:1" ht="15.75" thickBot="1" x14ac:dyDescent="0.3">
      <c r="A34" s="2" t="str" cm="1">
        <f t="array" ref="A34">IFERROR(INDEX(StatusEffectFileList,ROW()),"")</f>
        <v/>
      </c>
    </row>
    <row r="35" spans="1:1" ht="15.75" thickBot="1" x14ac:dyDescent="0.3">
      <c r="A35" s="2" t="str" cm="1">
        <f t="array" ref="A35">IFERROR(INDEX(StatusEffectFileList,ROW()),"")</f>
        <v/>
      </c>
    </row>
    <row r="36" spans="1:1" ht="15.75" thickBot="1" x14ac:dyDescent="0.3">
      <c r="A36" s="2" t="str" cm="1">
        <f t="array" ref="A36">IFERROR(INDEX(StatusEffectFileList,ROW()),"")</f>
        <v/>
      </c>
    </row>
    <row r="37" spans="1:1" ht="15.75" thickBot="1" x14ac:dyDescent="0.3">
      <c r="A37" s="2" t="str" cm="1">
        <f t="array" ref="A37">IFERROR(INDEX(StatusEffectFileList,ROW()),"")</f>
        <v/>
      </c>
    </row>
    <row r="38" spans="1:1" ht="15.75" thickBot="1" x14ac:dyDescent="0.3">
      <c r="A38" s="2" t="str" cm="1">
        <f t="array" ref="A38">IFERROR(INDEX(StatusEffectFileList,ROW()),"")</f>
        <v/>
      </c>
    </row>
    <row r="39" spans="1:1" ht="15.75" thickBot="1" x14ac:dyDescent="0.3">
      <c r="A39" s="2" t="str" cm="1">
        <f t="array" ref="A39">IFERROR(INDEX(StatusEffectFileList,ROW()),"")</f>
        <v/>
      </c>
    </row>
    <row r="40" spans="1:1" ht="15.75" thickBot="1" x14ac:dyDescent="0.3">
      <c r="A40" s="2" t="str" cm="1">
        <f t="array" ref="A40">IFERROR(INDEX(StatusEffectFileList,ROW()),"")</f>
        <v/>
      </c>
    </row>
    <row r="41" spans="1:1" ht="15.75" thickBot="1" x14ac:dyDescent="0.3">
      <c r="A41" s="2" t="str" cm="1">
        <f t="array" ref="A41">IFERROR(INDEX(StatusEffectFileList,ROW()),"")</f>
        <v/>
      </c>
    </row>
    <row r="42" spans="1:1" ht="15.75" thickBot="1" x14ac:dyDescent="0.3">
      <c r="A42" s="2" t="str" cm="1">
        <f t="array" ref="A42">IFERROR(INDEX(StatusEffectFileList,ROW()),"")</f>
        <v/>
      </c>
    </row>
    <row r="43" spans="1:1" ht="15.75" thickBot="1" x14ac:dyDescent="0.3">
      <c r="A43" s="2" t="str" cm="1">
        <f t="array" ref="A43">IFERROR(INDEX(StatusEffectFileList,ROW()),"")</f>
        <v/>
      </c>
    </row>
    <row r="44" spans="1:1" ht="15.75" thickBot="1" x14ac:dyDescent="0.3">
      <c r="A44" s="2" t="str" cm="1">
        <f t="array" ref="A44">IFERROR(INDEX(StatusEffectFileList,ROW()),"")</f>
        <v/>
      </c>
    </row>
    <row r="45" spans="1:1" ht="15.75" thickBot="1" x14ac:dyDescent="0.3">
      <c r="A45" s="2" t="str" cm="1">
        <f t="array" ref="A45">IFERROR(INDEX(StatusEffectFileList,ROW()),"")</f>
        <v/>
      </c>
    </row>
    <row r="46" spans="1:1" ht="15.75" thickBot="1" x14ac:dyDescent="0.3">
      <c r="A46" s="2" t="str" cm="1">
        <f t="array" ref="A46">IFERROR(INDEX(StatusEffectFileList,ROW()),"")</f>
        <v/>
      </c>
    </row>
    <row r="47" spans="1:1" ht="15.75" thickBot="1" x14ac:dyDescent="0.3">
      <c r="A47" s="2" t="str" cm="1">
        <f t="array" ref="A47">IFERROR(INDEX(StatusEffectFileList,ROW()),"")</f>
        <v/>
      </c>
    </row>
    <row r="48" spans="1:1" ht="15.75" thickBot="1" x14ac:dyDescent="0.3">
      <c r="A48" s="2" t="str" cm="1">
        <f t="array" ref="A48">IFERROR(INDEX(StatusEffectFileList,ROW()),"")</f>
        <v/>
      </c>
    </row>
    <row r="49" spans="1:1" ht="15.75" thickBot="1" x14ac:dyDescent="0.3">
      <c r="A49" s="2" t="str" cm="1">
        <f t="array" ref="A49">IFERROR(INDEX(StatusEffectFileList,ROW()),"")</f>
        <v/>
      </c>
    </row>
    <row r="50" spans="1:1" ht="15.75" thickBot="1" x14ac:dyDescent="0.3">
      <c r="A50" s="2" t="str" cm="1">
        <f t="array" ref="A50">IFERROR(INDEX(StatusEffectFileList,ROW()),"")</f>
        <v/>
      </c>
    </row>
    <row r="51" spans="1:1" ht="15.75" thickBot="1" x14ac:dyDescent="0.3">
      <c r="A51" s="2" t="str" cm="1">
        <f t="array" ref="A51">IFERROR(INDEX(StatusEffectFileList,ROW()),"")</f>
        <v/>
      </c>
    </row>
    <row r="52" spans="1:1" ht="15.75" thickBot="1" x14ac:dyDescent="0.3">
      <c r="A52" s="2" t="str" cm="1">
        <f t="array" ref="A52">IFERROR(INDEX(StatusEffectFileList,ROW()),"")</f>
        <v/>
      </c>
    </row>
    <row r="53" spans="1:1" ht="15.75" thickBot="1" x14ac:dyDescent="0.3">
      <c r="A53" s="2" t="str" cm="1">
        <f t="array" ref="A53">IFERROR(INDEX(StatusEffectFileList,ROW()),"")</f>
        <v/>
      </c>
    </row>
    <row r="54" spans="1:1" ht="15.75" thickBot="1" x14ac:dyDescent="0.3">
      <c r="A54" s="2" t="str" cm="1">
        <f t="array" ref="A54">IFERROR(INDEX(StatusEffectFileList,ROW()),"")</f>
        <v/>
      </c>
    </row>
    <row r="55" spans="1:1" ht="15.75" thickBot="1" x14ac:dyDescent="0.3">
      <c r="A55" s="2" t="str" cm="1">
        <f t="array" ref="A55">IFERROR(INDEX(StatusEffectFileList,ROW()),"")</f>
        <v/>
      </c>
    </row>
    <row r="56" spans="1:1" ht="15.75" thickBot="1" x14ac:dyDescent="0.3">
      <c r="A56" s="2" t="str" cm="1">
        <f t="array" ref="A56">IFERROR(INDEX(StatusEffectFileList,ROW()),"")</f>
        <v/>
      </c>
    </row>
    <row r="57" spans="1:1" ht="15.75" thickBot="1" x14ac:dyDescent="0.3">
      <c r="A57" s="2" t="str" cm="1">
        <f t="array" ref="A57">IFERROR(INDEX(StatusEffectFileList,ROW()),"")</f>
        <v/>
      </c>
    </row>
    <row r="58" spans="1:1" ht="15.75" thickBot="1" x14ac:dyDescent="0.3">
      <c r="A58" s="2" t="str" cm="1">
        <f t="array" ref="A58">IFERROR(INDEX(StatusEffectFileList,ROW()),"")</f>
        <v/>
      </c>
    </row>
    <row r="59" spans="1:1" ht="15.75" thickBot="1" x14ac:dyDescent="0.3">
      <c r="A59" s="2" t="str" cm="1">
        <f t="array" ref="A59">IFERROR(INDEX(StatusEffectFileList,ROW()),"")</f>
        <v/>
      </c>
    </row>
    <row r="60" spans="1:1" ht="15.75" thickBot="1" x14ac:dyDescent="0.3">
      <c r="A60" s="2" t="str" cm="1">
        <f t="array" ref="A60">IFERROR(INDEX(StatusEffectFileList,ROW()),"")</f>
        <v/>
      </c>
    </row>
    <row r="61" spans="1:1" ht="15.75" thickBot="1" x14ac:dyDescent="0.3">
      <c r="A61" s="2" t="str" cm="1">
        <f t="array" ref="A61">IFERROR(INDEX(StatusEffectFileList,ROW()),"")</f>
        <v/>
      </c>
    </row>
    <row r="62" spans="1:1" ht="15.75" thickBot="1" x14ac:dyDescent="0.3">
      <c r="A62" s="2" t="str" cm="1">
        <f t="array" ref="A62">IFERROR(INDEX(StatusEffectFileList,ROW()),"")</f>
        <v/>
      </c>
    </row>
    <row r="63" spans="1:1" ht="15.75" thickBot="1" x14ac:dyDescent="0.3">
      <c r="A63" s="2" t="str" cm="1">
        <f t="array" ref="A63">IFERROR(INDEX(StatusEffectFileList,ROW()),"")</f>
        <v/>
      </c>
    </row>
    <row r="64" spans="1:1" ht="15.75" thickBot="1" x14ac:dyDescent="0.3">
      <c r="A64" s="2" t="str" cm="1">
        <f t="array" ref="A64">IFERROR(INDEX(StatusEffectFileList,ROW()),"")</f>
        <v/>
      </c>
    </row>
    <row r="65" spans="1:1" ht="15.75" thickBot="1" x14ac:dyDescent="0.3">
      <c r="A65" s="2" t="str" cm="1">
        <f t="array" ref="A65">IFERROR(INDEX(StatusEffectFileList,ROW()),"")</f>
        <v/>
      </c>
    </row>
    <row r="66" spans="1:1" ht="15.75" thickBot="1" x14ac:dyDescent="0.3">
      <c r="A66" s="2" t="str" cm="1">
        <f t="array" ref="A66">IFERROR(INDEX(StatusEffectFileList,ROW()),"")</f>
        <v/>
      </c>
    </row>
    <row r="67" spans="1:1" ht="15.75" thickBot="1" x14ac:dyDescent="0.3">
      <c r="A67" s="2" t="str" cm="1">
        <f t="array" ref="A67">IFERROR(INDEX(StatusEffectFileList,ROW()),"")</f>
        <v/>
      </c>
    </row>
    <row r="68" spans="1:1" ht="15.75" thickBot="1" x14ac:dyDescent="0.3">
      <c r="A68" s="2" t="str" cm="1">
        <f t="array" ref="A68">IFERROR(INDEX(StatusEffectFileList,ROW()),"")</f>
        <v/>
      </c>
    </row>
    <row r="69" spans="1:1" ht="15.75" thickBot="1" x14ac:dyDescent="0.3">
      <c r="A69" s="2" t="str" cm="1">
        <f t="array" ref="A69">IFERROR(INDEX(StatusEffectFileList,ROW()),"")</f>
        <v/>
      </c>
    </row>
    <row r="70" spans="1:1" ht="15.75" thickBot="1" x14ac:dyDescent="0.3">
      <c r="A70" s="2" t="str" cm="1">
        <f t="array" ref="A70">IFERROR(INDEX(StatusEffectFileList,ROW()),"")</f>
        <v/>
      </c>
    </row>
    <row r="71" spans="1:1" ht="15.75" thickBot="1" x14ac:dyDescent="0.3">
      <c r="A71" s="2" t="str" cm="1">
        <f t="array" ref="A71">IFERROR(INDEX(StatusEffectFileList,ROW()),"")</f>
        <v/>
      </c>
    </row>
    <row r="72" spans="1:1" ht="15.75" thickBot="1" x14ac:dyDescent="0.3">
      <c r="A72" s="2" t="str" cm="1">
        <f t="array" ref="A72">IFERROR(INDEX(StatusEffectFileList,ROW()),"")</f>
        <v/>
      </c>
    </row>
    <row r="73" spans="1:1" ht="15.75" thickBot="1" x14ac:dyDescent="0.3">
      <c r="A73" s="2" t="str" cm="1">
        <f t="array" ref="A73">IFERROR(INDEX(StatusEffectFileList,ROW()),"")</f>
        <v/>
      </c>
    </row>
    <row r="74" spans="1:1" ht="15.75" thickBot="1" x14ac:dyDescent="0.3">
      <c r="A74" s="2" t="str" cm="1">
        <f t="array" ref="A74">IFERROR(INDEX(StatusEffectFileList,ROW()),"")</f>
        <v/>
      </c>
    </row>
    <row r="75" spans="1:1" ht="15.75" thickBot="1" x14ac:dyDescent="0.3">
      <c r="A75" s="2" t="str" cm="1">
        <f t="array" ref="A75">IFERROR(INDEX(StatusEffectFileList,ROW()),"")</f>
        <v/>
      </c>
    </row>
    <row r="76" spans="1:1" ht="15.75" thickBot="1" x14ac:dyDescent="0.3">
      <c r="A76" s="2" t="str" cm="1">
        <f t="array" ref="A76">IFERROR(INDEX(StatusEffectFileList,ROW()),"")</f>
        <v/>
      </c>
    </row>
    <row r="77" spans="1:1" ht="15.75" thickBot="1" x14ac:dyDescent="0.3">
      <c r="A77" s="2" t="str" cm="1">
        <f t="array" ref="A77">IFERROR(INDEX(StatusEffectFileList,ROW()),"")</f>
        <v/>
      </c>
    </row>
    <row r="78" spans="1:1" ht="15.75" thickBot="1" x14ac:dyDescent="0.3">
      <c r="A78" s="2" t="str" cm="1">
        <f t="array" ref="A78">IFERROR(INDEX(StatusEffectFileList,ROW()),"")</f>
        <v/>
      </c>
    </row>
    <row r="79" spans="1:1" ht="15.75" thickBot="1" x14ac:dyDescent="0.3">
      <c r="A79" s="2" t="str" cm="1">
        <f t="array" ref="A79">IFERROR(INDEX(StatusEffectFileList,ROW()),"")</f>
        <v/>
      </c>
    </row>
    <row r="80" spans="1:1" ht="15.75" thickBot="1" x14ac:dyDescent="0.3">
      <c r="A80" s="2" t="str" cm="1">
        <f t="array" ref="A80">IFERROR(INDEX(StatusEffectFileList,ROW()),"")</f>
        <v/>
      </c>
    </row>
    <row r="81" spans="1:1" ht="15.75" thickBot="1" x14ac:dyDescent="0.3">
      <c r="A81" s="2" t="str" cm="1">
        <f t="array" ref="A81">IFERROR(INDEX(StatusEffectFileList,ROW()),"")</f>
        <v/>
      </c>
    </row>
    <row r="82" spans="1:1" ht="15.75" thickBot="1" x14ac:dyDescent="0.3">
      <c r="A82" s="2" t="str" cm="1">
        <f t="array" ref="A82">IFERROR(INDEX(StatusEffectFileList,ROW()),"")</f>
        <v/>
      </c>
    </row>
    <row r="83" spans="1:1" ht="15.75" thickBot="1" x14ac:dyDescent="0.3">
      <c r="A83" s="2" t="str" cm="1">
        <f t="array" ref="A83">IFERROR(INDEX(StatusEffectFileList,ROW()),"")</f>
        <v/>
      </c>
    </row>
    <row r="84" spans="1:1" ht="15.75" thickBot="1" x14ac:dyDescent="0.3">
      <c r="A84" s="2" t="str" cm="1">
        <f t="array" ref="A84">IFERROR(INDEX(StatusEffectFileList,ROW()),"")</f>
        <v/>
      </c>
    </row>
    <row r="85" spans="1:1" ht="15.75" thickBot="1" x14ac:dyDescent="0.3">
      <c r="A85" s="2" t="str" cm="1">
        <f t="array" ref="A85">IFERROR(INDEX(StatusEffectFileList,ROW()),"")</f>
        <v/>
      </c>
    </row>
    <row r="86" spans="1:1" ht="15.75" thickBot="1" x14ac:dyDescent="0.3">
      <c r="A86" s="2" t="str" cm="1">
        <f t="array" ref="A86">IFERROR(INDEX(StatusEffectFileList,ROW()),"")</f>
        <v/>
      </c>
    </row>
    <row r="87" spans="1:1" ht="15.75" thickBot="1" x14ac:dyDescent="0.3">
      <c r="A87" s="2" t="str" cm="1">
        <f t="array" ref="A87">IFERROR(INDEX(StatusEffectFileList,ROW()),"")</f>
        <v/>
      </c>
    </row>
    <row r="88" spans="1:1" ht="15.75" thickBot="1" x14ac:dyDescent="0.3">
      <c r="A88" s="2" t="str" cm="1">
        <f t="array" ref="A88">IFERROR(INDEX(StatusEffectFileList,ROW()),"")</f>
        <v/>
      </c>
    </row>
    <row r="89" spans="1:1" ht="15.75" thickBot="1" x14ac:dyDescent="0.3">
      <c r="A89" s="2" t="str" cm="1">
        <f t="array" ref="A89">IFERROR(INDEX(StatusEffectFileList,ROW()),"")</f>
        <v/>
      </c>
    </row>
    <row r="90" spans="1:1" ht="15.75" thickBot="1" x14ac:dyDescent="0.3">
      <c r="A90" s="2" t="str" cm="1">
        <f t="array" ref="A90">IFERROR(INDEX(StatusEffectFileList,ROW()),"")</f>
        <v/>
      </c>
    </row>
    <row r="91" spans="1:1" ht="15.75" thickBot="1" x14ac:dyDescent="0.3">
      <c r="A91" s="2" t="str" cm="1">
        <f t="array" ref="A91">IFERROR(INDEX(StatusEffectFileList,ROW()),"")</f>
        <v/>
      </c>
    </row>
    <row r="92" spans="1:1" ht="15.75" thickBot="1" x14ac:dyDescent="0.3">
      <c r="A92" s="2" t="str" cm="1">
        <f t="array" ref="A92">IFERROR(INDEX(StatusEffectFileList,ROW()),"")</f>
        <v/>
      </c>
    </row>
    <row r="93" spans="1:1" ht="15.75" thickBot="1" x14ac:dyDescent="0.3">
      <c r="A93" s="2" t="str" cm="1">
        <f t="array" ref="A93">IFERROR(INDEX(StatusEffectFileList,ROW()),"")</f>
        <v/>
      </c>
    </row>
    <row r="94" spans="1:1" ht="15.75" thickBot="1" x14ac:dyDescent="0.3">
      <c r="A94" s="2" t="str" cm="1">
        <f t="array" ref="A94">IFERROR(INDEX(StatusEffectFileList,ROW()),"")</f>
        <v/>
      </c>
    </row>
    <row r="95" spans="1:1" ht="15.75" thickBot="1" x14ac:dyDescent="0.3">
      <c r="A95" s="2" t="str" cm="1">
        <f t="array" ref="A95">IFERROR(INDEX(StatusEffectFileList,ROW()),"")</f>
        <v/>
      </c>
    </row>
    <row r="96" spans="1:1" ht="15.75" thickBot="1" x14ac:dyDescent="0.3">
      <c r="A96" s="2" t="str" cm="1">
        <f t="array" ref="A96">IFERROR(INDEX(StatusEffectFileList,ROW()),"")</f>
        <v/>
      </c>
    </row>
    <row r="97" spans="1:1" ht="15.75" thickBot="1" x14ac:dyDescent="0.3">
      <c r="A97" s="2" t="str" cm="1">
        <f t="array" ref="A97">IFERROR(INDEX(StatusEffectFileList,ROW()),"")</f>
        <v/>
      </c>
    </row>
    <row r="98" spans="1:1" ht="15.75" thickBot="1" x14ac:dyDescent="0.3">
      <c r="A98" s="2" t="str" cm="1">
        <f t="array" ref="A98">IFERROR(INDEX(StatusEffectFileList,ROW()),"")</f>
        <v/>
      </c>
    </row>
    <row r="99" spans="1:1" ht="15.75" thickBot="1" x14ac:dyDescent="0.3">
      <c r="A99" s="2" t="str" cm="1">
        <f t="array" ref="A99">IFERROR(INDEX(StatusEffectFileList,ROW()),"")</f>
        <v/>
      </c>
    </row>
    <row r="100" spans="1:1" x14ac:dyDescent="0.25">
      <c r="A100" s="2" t="str" cm="1">
        <f t="array" ref="A100">IFERROR(INDEX(StatusEffectFileList,ROW()),"")</f>
        <v/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775EE-9F3A-4758-B190-735927F0CCE4}">
  <dimension ref="A1:G100"/>
  <sheetViews>
    <sheetView tabSelected="1" workbookViewId="0">
      <selection activeCell="G2" sqref="G2"/>
    </sheetView>
  </sheetViews>
  <sheetFormatPr defaultRowHeight="15" x14ac:dyDescent="0.25"/>
  <cols>
    <col min="1" max="1" width="29.42578125" customWidth="1"/>
    <col min="5" max="5" width="22.140625" customWidth="1"/>
    <col min="6" max="6" width="4.42578125" customWidth="1"/>
    <col min="7" max="7" width="21.140625" customWidth="1"/>
  </cols>
  <sheetData>
    <row r="1" spans="1:7" ht="15.75" thickBot="1" x14ac:dyDescent="0.3">
      <c r="A1" s="2" t="str" cm="1">
        <f t="array" ref="A1">IFERROR(INDEX(StatTemplateFileList,ROW()),"")</f>
        <v>Base Stat Template.xlsx</v>
      </c>
      <c r="C1" t="s">
        <v>6</v>
      </c>
      <c r="G1" t="s">
        <v>12</v>
      </c>
    </row>
    <row r="2" spans="1:7" ht="15.75" thickBot="1" x14ac:dyDescent="0.3">
      <c r="A2" s="2" t="str" cm="1">
        <f t="array" ref="A2">IFERROR(INDEX(StatTemplateFileList,ROW()),"")</f>
        <v>Base Stat Template.xlsx.meta</v>
      </c>
      <c r="C2" t="s">
        <v>9</v>
      </c>
      <c r="E2" t="str" cm="1">
        <f t="array" ref="E2">_xlfn._xlws.FILTER(A1:A100,RIGHT(A1:A100,LEN(Table413143[[#This Row],[Regex]]))=Table413143[[#This Row],[Regex]],"No Results!")</f>
        <v>Base Stat Template.xlsx</v>
      </c>
      <c r="G2" t="str">
        <f>IF(E2&lt;&gt;"", LEFT(E2,LEN(E2)-LEN(Table413143[[#This Row],[Regex]])), "")</f>
        <v>Base Stat Template</v>
      </c>
    </row>
    <row r="3" spans="1:7" ht="15.75" thickBot="1" x14ac:dyDescent="0.3">
      <c r="A3" s="2" t="str" cm="1">
        <f t="array" ref="A3">IFERROR(INDEX(StatTemplateFileList,ROW()),"")</f>
        <v>~$Base Stat Template.xlsx.meta</v>
      </c>
      <c r="G3" t="str">
        <f>IF(E3&lt;&gt;"", LEFT(E3,LEN(E3)-LEN(Table413143[[#This Row],[Regex]])), "")</f>
        <v/>
      </c>
    </row>
    <row r="4" spans="1:7" ht="15.75" thickBot="1" x14ac:dyDescent="0.3">
      <c r="A4" s="2" t="str" cm="1">
        <f t="array" ref="A4">IFERROR(INDEX(StatTemplateFileList,ROW()),"")</f>
        <v/>
      </c>
    </row>
    <row r="5" spans="1:7" ht="15.75" thickBot="1" x14ac:dyDescent="0.3">
      <c r="A5" s="2" t="str" cm="1">
        <f t="array" ref="A5">IFERROR(INDEX(StatTemplateFileList,ROW()),"")</f>
        <v/>
      </c>
    </row>
    <row r="6" spans="1:7" ht="15.75" thickBot="1" x14ac:dyDescent="0.3">
      <c r="A6" s="2" t="str" cm="1">
        <f t="array" ref="A6">IFERROR(INDEX(StatTemplateFileList,ROW()),"")</f>
        <v/>
      </c>
    </row>
    <row r="7" spans="1:7" ht="15.75" thickBot="1" x14ac:dyDescent="0.3">
      <c r="A7" s="2" t="str" cm="1">
        <f t="array" ref="A7">IFERROR(INDEX(StatTemplateFileList,ROW()),"")</f>
        <v/>
      </c>
    </row>
    <row r="8" spans="1:7" ht="15.75" thickBot="1" x14ac:dyDescent="0.3">
      <c r="A8" s="2" t="str" cm="1">
        <f t="array" ref="A8">IFERROR(INDEX(StatTemplateFileList,ROW()),"")</f>
        <v/>
      </c>
    </row>
    <row r="9" spans="1:7" ht="15.75" thickBot="1" x14ac:dyDescent="0.3">
      <c r="A9" s="2" t="str" cm="1">
        <f t="array" ref="A9">IFERROR(INDEX(StatTemplateFileList,ROW()),"")</f>
        <v/>
      </c>
    </row>
    <row r="10" spans="1:7" ht="15.75" thickBot="1" x14ac:dyDescent="0.3">
      <c r="A10" s="2" t="str" cm="1">
        <f t="array" ref="A10">IFERROR(INDEX(StatTemplateFileList,ROW()),"")</f>
        <v/>
      </c>
    </row>
    <row r="11" spans="1:7" ht="15.75" thickBot="1" x14ac:dyDescent="0.3">
      <c r="A11" s="2" t="str" cm="1">
        <f t="array" ref="A11">IFERROR(INDEX(StatTemplateFileList,ROW()),"")</f>
        <v/>
      </c>
    </row>
    <row r="12" spans="1:7" ht="15.75" thickBot="1" x14ac:dyDescent="0.3">
      <c r="A12" s="2" t="str" cm="1">
        <f t="array" ref="A12">IFERROR(INDEX(StatTemplateFileList,ROW()),"")</f>
        <v/>
      </c>
    </row>
    <row r="13" spans="1:7" ht="15.75" thickBot="1" x14ac:dyDescent="0.3">
      <c r="A13" s="2" t="str" cm="1">
        <f t="array" ref="A13">IFERROR(INDEX(StatTemplateFileList,ROW()),"")</f>
        <v/>
      </c>
    </row>
    <row r="14" spans="1:7" ht="15.75" thickBot="1" x14ac:dyDescent="0.3">
      <c r="A14" s="2" t="str" cm="1">
        <f t="array" ref="A14">IFERROR(INDEX(StatTemplateFileList,ROW()),"")</f>
        <v/>
      </c>
    </row>
    <row r="15" spans="1:7" ht="15.75" thickBot="1" x14ac:dyDescent="0.3">
      <c r="A15" s="2" t="str" cm="1">
        <f t="array" ref="A15">IFERROR(INDEX(StatTemplateFileList,ROW()),"")</f>
        <v/>
      </c>
    </row>
    <row r="16" spans="1:7" ht="15.75" thickBot="1" x14ac:dyDescent="0.3">
      <c r="A16" s="2" t="str" cm="1">
        <f t="array" ref="A16">IFERROR(INDEX(StatTemplateFileList,ROW()),"")</f>
        <v/>
      </c>
    </row>
    <row r="17" spans="1:1" ht="15.75" thickBot="1" x14ac:dyDescent="0.3">
      <c r="A17" s="2" t="str" cm="1">
        <f t="array" ref="A17">IFERROR(INDEX(StatTemplateFileList,ROW()),"")</f>
        <v/>
      </c>
    </row>
    <row r="18" spans="1:1" ht="15.75" thickBot="1" x14ac:dyDescent="0.3">
      <c r="A18" s="2" t="str" cm="1">
        <f t="array" ref="A18">IFERROR(INDEX(StatTemplateFileList,ROW()),"")</f>
        <v/>
      </c>
    </row>
    <row r="19" spans="1:1" ht="15.75" thickBot="1" x14ac:dyDescent="0.3">
      <c r="A19" s="2" t="str" cm="1">
        <f t="array" ref="A19">IFERROR(INDEX(StatTemplateFileList,ROW()),"")</f>
        <v/>
      </c>
    </row>
    <row r="20" spans="1:1" ht="15.75" thickBot="1" x14ac:dyDescent="0.3">
      <c r="A20" s="2" t="str" cm="1">
        <f t="array" ref="A20">IFERROR(INDEX(StatTemplateFileList,ROW()),"")</f>
        <v/>
      </c>
    </row>
    <row r="21" spans="1:1" ht="15.75" thickBot="1" x14ac:dyDescent="0.3">
      <c r="A21" s="2" t="str" cm="1">
        <f t="array" ref="A21">IFERROR(INDEX(StatTemplateFileList,ROW()),"")</f>
        <v/>
      </c>
    </row>
    <row r="22" spans="1:1" ht="15.75" thickBot="1" x14ac:dyDescent="0.3">
      <c r="A22" s="2" t="str" cm="1">
        <f t="array" ref="A22">IFERROR(INDEX(StatTemplateFileList,ROW()),"")</f>
        <v/>
      </c>
    </row>
    <row r="23" spans="1:1" ht="15.75" thickBot="1" x14ac:dyDescent="0.3">
      <c r="A23" s="2" t="str" cm="1">
        <f t="array" ref="A23">IFERROR(INDEX(StatTemplateFileList,ROW()),"")</f>
        <v/>
      </c>
    </row>
    <row r="24" spans="1:1" ht="15.75" thickBot="1" x14ac:dyDescent="0.3">
      <c r="A24" s="2" t="str" cm="1">
        <f t="array" ref="A24">IFERROR(INDEX(StatTemplateFileList,ROW()),"")</f>
        <v/>
      </c>
    </row>
    <row r="25" spans="1:1" ht="15.75" thickBot="1" x14ac:dyDescent="0.3">
      <c r="A25" s="2" t="str" cm="1">
        <f t="array" ref="A25">IFERROR(INDEX(StatTemplateFileList,ROW()),"")</f>
        <v/>
      </c>
    </row>
    <row r="26" spans="1:1" ht="15.75" thickBot="1" x14ac:dyDescent="0.3">
      <c r="A26" s="2" t="str" cm="1">
        <f t="array" ref="A26">IFERROR(INDEX(StatTemplateFileList,ROW()),"")</f>
        <v/>
      </c>
    </row>
    <row r="27" spans="1:1" ht="15.75" thickBot="1" x14ac:dyDescent="0.3">
      <c r="A27" s="2" t="str" cm="1">
        <f t="array" ref="A27">IFERROR(INDEX(StatTemplateFileList,ROW()),"")</f>
        <v/>
      </c>
    </row>
    <row r="28" spans="1:1" ht="15.75" thickBot="1" x14ac:dyDescent="0.3">
      <c r="A28" s="2" t="str" cm="1">
        <f t="array" ref="A28">IFERROR(INDEX(StatTemplateFileList,ROW()),"")</f>
        <v/>
      </c>
    </row>
    <row r="29" spans="1:1" ht="15.75" thickBot="1" x14ac:dyDescent="0.3">
      <c r="A29" s="2" t="str" cm="1">
        <f t="array" ref="A29">IFERROR(INDEX(StatTemplateFileList,ROW()),"")</f>
        <v/>
      </c>
    </row>
    <row r="30" spans="1:1" ht="15.75" thickBot="1" x14ac:dyDescent="0.3">
      <c r="A30" s="2" t="str" cm="1">
        <f t="array" ref="A30">IFERROR(INDEX(StatTemplateFileList,ROW()),"")</f>
        <v/>
      </c>
    </row>
    <row r="31" spans="1:1" ht="15.75" thickBot="1" x14ac:dyDescent="0.3">
      <c r="A31" s="2" t="str" cm="1">
        <f t="array" ref="A31">IFERROR(INDEX(StatTemplateFileList,ROW()),"")</f>
        <v/>
      </c>
    </row>
    <row r="32" spans="1:1" ht="15.75" thickBot="1" x14ac:dyDescent="0.3">
      <c r="A32" s="2" t="str" cm="1">
        <f t="array" ref="A32">IFERROR(INDEX(StatTemplateFileList,ROW()),"")</f>
        <v/>
      </c>
    </row>
    <row r="33" spans="1:1" ht="15.75" thickBot="1" x14ac:dyDescent="0.3">
      <c r="A33" s="2" t="str" cm="1">
        <f t="array" ref="A33">IFERROR(INDEX(StatTemplateFileList,ROW()),"")</f>
        <v/>
      </c>
    </row>
    <row r="34" spans="1:1" ht="15.75" thickBot="1" x14ac:dyDescent="0.3">
      <c r="A34" s="2" t="str" cm="1">
        <f t="array" ref="A34">IFERROR(INDEX(StatTemplateFileList,ROW()),"")</f>
        <v/>
      </c>
    </row>
    <row r="35" spans="1:1" ht="15.75" thickBot="1" x14ac:dyDescent="0.3">
      <c r="A35" s="2" t="str" cm="1">
        <f t="array" ref="A35">IFERROR(INDEX(StatTemplateFileList,ROW()),"")</f>
        <v/>
      </c>
    </row>
    <row r="36" spans="1:1" ht="15.75" thickBot="1" x14ac:dyDescent="0.3">
      <c r="A36" s="2" t="str" cm="1">
        <f t="array" ref="A36">IFERROR(INDEX(StatTemplateFileList,ROW()),"")</f>
        <v/>
      </c>
    </row>
    <row r="37" spans="1:1" ht="15.75" thickBot="1" x14ac:dyDescent="0.3">
      <c r="A37" s="2" t="str" cm="1">
        <f t="array" ref="A37">IFERROR(INDEX(StatTemplateFileList,ROW()),"")</f>
        <v/>
      </c>
    </row>
    <row r="38" spans="1:1" ht="15.75" thickBot="1" x14ac:dyDescent="0.3">
      <c r="A38" s="2" t="str" cm="1">
        <f t="array" ref="A38">IFERROR(INDEX(StatTemplateFileList,ROW()),"")</f>
        <v/>
      </c>
    </row>
    <row r="39" spans="1:1" ht="15.75" thickBot="1" x14ac:dyDescent="0.3">
      <c r="A39" s="2" t="str" cm="1">
        <f t="array" ref="A39">IFERROR(INDEX(StatTemplateFileList,ROW()),"")</f>
        <v/>
      </c>
    </row>
    <row r="40" spans="1:1" ht="15.75" thickBot="1" x14ac:dyDescent="0.3">
      <c r="A40" s="2" t="str" cm="1">
        <f t="array" ref="A40">IFERROR(INDEX(StatTemplateFileList,ROW()),"")</f>
        <v/>
      </c>
    </row>
    <row r="41" spans="1:1" ht="15.75" thickBot="1" x14ac:dyDescent="0.3">
      <c r="A41" s="2" t="str" cm="1">
        <f t="array" ref="A41">IFERROR(INDEX(StatTemplateFileList,ROW()),"")</f>
        <v/>
      </c>
    </row>
    <row r="42" spans="1:1" ht="15.75" thickBot="1" x14ac:dyDescent="0.3">
      <c r="A42" s="2" t="str" cm="1">
        <f t="array" ref="A42">IFERROR(INDEX(StatTemplateFileList,ROW()),"")</f>
        <v/>
      </c>
    </row>
    <row r="43" spans="1:1" ht="15.75" thickBot="1" x14ac:dyDescent="0.3">
      <c r="A43" s="2" t="str" cm="1">
        <f t="array" ref="A43">IFERROR(INDEX(StatTemplateFileList,ROW()),"")</f>
        <v/>
      </c>
    </row>
    <row r="44" spans="1:1" ht="15.75" thickBot="1" x14ac:dyDescent="0.3">
      <c r="A44" s="2" t="str" cm="1">
        <f t="array" ref="A44">IFERROR(INDEX(StatTemplateFileList,ROW()),"")</f>
        <v/>
      </c>
    </row>
    <row r="45" spans="1:1" ht="15.75" thickBot="1" x14ac:dyDescent="0.3">
      <c r="A45" s="2" t="str" cm="1">
        <f t="array" ref="A45">IFERROR(INDEX(StatTemplateFileList,ROW()),"")</f>
        <v/>
      </c>
    </row>
    <row r="46" spans="1:1" ht="15.75" thickBot="1" x14ac:dyDescent="0.3">
      <c r="A46" s="2" t="str" cm="1">
        <f t="array" ref="A46">IFERROR(INDEX(StatTemplateFileList,ROW()),"")</f>
        <v/>
      </c>
    </row>
    <row r="47" spans="1:1" ht="15.75" thickBot="1" x14ac:dyDescent="0.3">
      <c r="A47" s="2" t="str" cm="1">
        <f t="array" ref="A47">IFERROR(INDEX(StatTemplateFileList,ROW()),"")</f>
        <v/>
      </c>
    </row>
    <row r="48" spans="1:1" ht="15.75" thickBot="1" x14ac:dyDescent="0.3">
      <c r="A48" s="2" t="str" cm="1">
        <f t="array" ref="A48">IFERROR(INDEX(StatTemplateFileList,ROW()),"")</f>
        <v/>
      </c>
    </row>
    <row r="49" spans="1:1" ht="15.75" thickBot="1" x14ac:dyDescent="0.3">
      <c r="A49" s="2" t="str" cm="1">
        <f t="array" ref="A49">IFERROR(INDEX(StatTemplateFileList,ROW()),"")</f>
        <v/>
      </c>
    </row>
    <row r="50" spans="1:1" ht="15.75" thickBot="1" x14ac:dyDescent="0.3">
      <c r="A50" s="2" t="str" cm="1">
        <f t="array" ref="A50">IFERROR(INDEX(StatTemplateFileList,ROW()),"")</f>
        <v/>
      </c>
    </row>
    <row r="51" spans="1:1" ht="15.75" thickBot="1" x14ac:dyDescent="0.3">
      <c r="A51" s="2" t="str" cm="1">
        <f t="array" ref="A51">IFERROR(INDEX(StatTemplateFileList,ROW()),"")</f>
        <v/>
      </c>
    </row>
    <row r="52" spans="1:1" ht="15.75" thickBot="1" x14ac:dyDescent="0.3">
      <c r="A52" s="2" t="str" cm="1">
        <f t="array" ref="A52">IFERROR(INDEX(StatTemplateFileList,ROW()),"")</f>
        <v/>
      </c>
    </row>
    <row r="53" spans="1:1" ht="15.75" thickBot="1" x14ac:dyDescent="0.3">
      <c r="A53" s="2" t="str" cm="1">
        <f t="array" ref="A53">IFERROR(INDEX(StatTemplateFileList,ROW()),"")</f>
        <v/>
      </c>
    </row>
    <row r="54" spans="1:1" ht="15.75" thickBot="1" x14ac:dyDescent="0.3">
      <c r="A54" s="2" t="str" cm="1">
        <f t="array" ref="A54">IFERROR(INDEX(StatTemplateFileList,ROW()),"")</f>
        <v/>
      </c>
    </row>
    <row r="55" spans="1:1" ht="15.75" thickBot="1" x14ac:dyDescent="0.3">
      <c r="A55" s="2" t="str" cm="1">
        <f t="array" ref="A55">IFERROR(INDEX(StatTemplateFileList,ROW()),"")</f>
        <v/>
      </c>
    </row>
    <row r="56" spans="1:1" ht="15.75" thickBot="1" x14ac:dyDescent="0.3">
      <c r="A56" s="2" t="str" cm="1">
        <f t="array" ref="A56">IFERROR(INDEX(StatTemplateFileList,ROW()),"")</f>
        <v/>
      </c>
    </row>
    <row r="57" spans="1:1" ht="15.75" thickBot="1" x14ac:dyDescent="0.3">
      <c r="A57" s="2" t="str" cm="1">
        <f t="array" ref="A57">IFERROR(INDEX(StatTemplateFileList,ROW()),"")</f>
        <v/>
      </c>
    </row>
    <row r="58" spans="1:1" ht="15.75" thickBot="1" x14ac:dyDescent="0.3">
      <c r="A58" s="2" t="str" cm="1">
        <f t="array" ref="A58">IFERROR(INDEX(StatTemplateFileList,ROW()),"")</f>
        <v/>
      </c>
    </row>
    <row r="59" spans="1:1" ht="15.75" thickBot="1" x14ac:dyDescent="0.3">
      <c r="A59" s="2" t="str" cm="1">
        <f t="array" ref="A59">IFERROR(INDEX(StatTemplateFileList,ROW()),"")</f>
        <v/>
      </c>
    </row>
    <row r="60" spans="1:1" ht="15.75" thickBot="1" x14ac:dyDescent="0.3">
      <c r="A60" s="2" t="str" cm="1">
        <f t="array" ref="A60">IFERROR(INDEX(StatTemplateFileList,ROW()),"")</f>
        <v/>
      </c>
    </row>
    <row r="61" spans="1:1" ht="15.75" thickBot="1" x14ac:dyDescent="0.3">
      <c r="A61" s="2" t="str" cm="1">
        <f t="array" ref="A61">IFERROR(INDEX(StatTemplateFileList,ROW()),"")</f>
        <v/>
      </c>
    </row>
    <row r="62" spans="1:1" ht="15.75" thickBot="1" x14ac:dyDescent="0.3">
      <c r="A62" s="2" t="str" cm="1">
        <f t="array" ref="A62">IFERROR(INDEX(StatTemplateFileList,ROW()),"")</f>
        <v/>
      </c>
    </row>
    <row r="63" spans="1:1" ht="15.75" thickBot="1" x14ac:dyDescent="0.3">
      <c r="A63" s="2" t="str" cm="1">
        <f t="array" ref="A63">IFERROR(INDEX(StatTemplateFileList,ROW()),"")</f>
        <v/>
      </c>
    </row>
    <row r="64" spans="1:1" ht="15.75" thickBot="1" x14ac:dyDescent="0.3">
      <c r="A64" s="2" t="str" cm="1">
        <f t="array" ref="A64">IFERROR(INDEX(StatTemplateFileList,ROW()),"")</f>
        <v/>
      </c>
    </row>
    <row r="65" spans="1:1" ht="15.75" thickBot="1" x14ac:dyDescent="0.3">
      <c r="A65" s="2" t="str" cm="1">
        <f t="array" ref="A65">IFERROR(INDEX(StatTemplateFileList,ROW()),"")</f>
        <v/>
      </c>
    </row>
    <row r="66" spans="1:1" ht="15.75" thickBot="1" x14ac:dyDescent="0.3">
      <c r="A66" s="2" t="str" cm="1">
        <f t="array" ref="A66">IFERROR(INDEX(StatTemplateFileList,ROW()),"")</f>
        <v/>
      </c>
    </row>
    <row r="67" spans="1:1" ht="15.75" thickBot="1" x14ac:dyDescent="0.3">
      <c r="A67" s="2" t="str" cm="1">
        <f t="array" ref="A67">IFERROR(INDEX(StatTemplateFileList,ROW()),"")</f>
        <v/>
      </c>
    </row>
    <row r="68" spans="1:1" ht="15.75" thickBot="1" x14ac:dyDescent="0.3">
      <c r="A68" s="2" t="str" cm="1">
        <f t="array" ref="A68">IFERROR(INDEX(StatTemplateFileList,ROW()),"")</f>
        <v/>
      </c>
    </row>
    <row r="69" spans="1:1" ht="15.75" thickBot="1" x14ac:dyDescent="0.3">
      <c r="A69" s="2" t="str" cm="1">
        <f t="array" ref="A69">IFERROR(INDEX(StatTemplateFileList,ROW()),"")</f>
        <v/>
      </c>
    </row>
    <row r="70" spans="1:1" ht="15.75" thickBot="1" x14ac:dyDescent="0.3">
      <c r="A70" s="2" t="str" cm="1">
        <f t="array" ref="A70">IFERROR(INDEX(StatTemplateFileList,ROW()),"")</f>
        <v/>
      </c>
    </row>
    <row r="71" spans="1:1" ht="15.75" thickBot="1" x14ac:dyDescent="0.3">
      <c r="A71" s="2" t="str" cm="1">
        <f t="array" ref="A71">IFERROR(INDEX(StatTemplateFileList,ROW()),"")</f>
        <v/>
      </c>
    </row>
    <row r="72" spans="1:1" ht="15.75" thickBot="1" x14ac:dyDescent="0.3">
      <c r="A72" s="2" t="str" cm="1">
        <f t="array" ref="A72">IFERROR(INDEX(StatTemplateFileList,ROW()),"")</f>
        <v/>
      </c>
    </row>
    <row r="73" spans="1:1" ht="15.75" thickBot="1" x14ac:dyDescent="0.3">
      <c r="A73" s="2" t="str" cm="1">
        <f t="array" ref="A73">IFERROR(INDEX(StatTemplateFileList,ROW()),"")</f>
        <v/>
      </c>
    </row>
    <row r="74" spans="1:1" ht="15.75" thickBot="1" x14ac:dyDescent="0.3">
      <c r="A74" s="2" t="str" cm="1">
        <f t="array" ref="A74">IFERROR(INDEX(StatTemplateFileList,ROW()),"")</f>
        <v/>
      </c>
    </row>
    <row r="75" spans="1:1" ht="15.75" thickBot="1" x14ac:dyDescent="0.3">
      <c r="A75" s="2" t="str" cm="1">
        <f t="array" ref="A75">IFERROR(INDEX(StatTemplateFileList,ROW()),"")</f>
        <v/>
      </c>
    </row>
    <row r="76" spans="1:1" ht="15.75" thickBot="1" x14ac:dyDescent="0.3">
      <c r="A76" s="2" t="str" cm="1">
        <f t="array" ref="A76">IFERROR(INDEX(StatTemplateFileList,ROW()),"")</f>
        <v/>
      </c>
    </row>
    <row r="77" spans="1:1" ht="15.75" thickBot="1" x14ac:dyDescent="0.3">
      <c r="A77" s="2" t="str" cm="1">
        <f t="array" ref="A77">IFERROR(INDEX(StatTemplateFileList,ROW()),"")</f>
        <v/>
      </c>
    </row>
    <row r="78" spans="1:1" ht="15.75" thickBot="1" x14ac:dyDescent="0.3">
      <c r="A78" s="2" t="str" cm="1">
        <f t="array" ref="A78">IFERROR(INDEX(StatTemplateFileList,ROW()),"")</f>
        <v/>
      </c>
    </row>
    <row r="79" spans="1:1" ht="15.75" thickBot="1" x14ac:dyDescent="0.3">
      <c r="A79" s="2" t="str" cm="1">
        <f t="array" ref="A79">IFERROR(INDEX(StatTemplateFileList,ROW()),"")</f>
        <v/>
      </c>
    </row>
    <row r="80" spans="1:1" ht="15.75" thickBot="1" x14ac:dyDescent="0.3">
      <c r="A80" s="2" t="str" cm="1">
        <f t="array" ref="A80">IFERROR(INDEX(StatTemplateFileList,ROW()),"")</f>
        <v/>
      </c>
    </row>
    <row r="81" spans="1:1" ht="15.75" thickBot="1" x14ac:dyDescent="0.3">
      <c r="A81" s="2" t="str" cm="1">
        <f t="array" ref="A81">IFERROR(INDEX(StatTemplateFileList,ROW()),"")</f>
        <v/>
      </c>
    </row>
    <row r="82" spans="1:1" ht="15.75" thickBot="1" x14ac:dyDescent="0.3">
      <c r="A82" s="2" t="str" cm="1">
        <f t="array" ref="A82">IFERROR(INDEX(StatTemplateFileList,ROW()),"")</f>
        <v/>
      </c>
    </row>
    <row r="83" spans="1:1" ht="15.75" thickBot="1" x14ac:dyDescent="0.3">
      <c r="A83" s="2" t="str" cm="1">
        <f t="array" ref="A83">IFERROR(INDEX(StatTemplateFileList,ROW()),"")</f>
        <v/>
      </c>
    </row>
    <row r="84" spans="1:1" ht="15.75" thickBot="1" x14ac:dyDescent="0.3">
      <c r="A84" s="2" t="str" cm="1">
        <f t="array" ref="A84">IFERROR(INDEX(StatTemplateFileList,ROW()),"")</f>
        <v/>
      </c>
    </row>
    <row r="85" spans="1:1" ht="15.75" thickBot="1" x14ac:dyDescent="0.3">
      <c r="A85" s="2" t="str" cm="1">
        <f t="array" ref="A85">IFERROR(INDEX(StatTemplateFileList,ROW()),"")</f>
        <v/>
      </c>
    </row>
    <row r="86" spans="1:1" ht="15.75" thickBot="1" x14ac:dyDescent="0.3">
      <c r="A86" s="2" t="str" cm="1">
        <f t="array" ref="A86">IFERROR(INDEX(StatTemplateFileList,ROW()),"")</f>
        <v/>
      </c>
    </row>
    <row r="87" spans="1:1" ht="15.75" thickBot="1" x14ac:dyDescent="0.3">
      <c r="A87" s="2" t="str" cm="1">
        <f t="array" ref="A87">IFERROR(INDEX(StatTemplateFileList,ROW()),"")</f>
        <v/>
      </c>
    </row>
    <row r="88" spans="1:1" ht="15.75" thickBot="1" x14ac:dyDescent="0.3">
      <c r="A88" s="2" t="str" cm="1">
        <f t="array" ref="A88">IFERROR(INDEX(StatTemplateFileList,ROW()),"")</f>
        <v/>
      </c>
    </row>
    <row r="89" spans="1:1" ht="15.75" thickBot="1" x14ac:dyDescent="0.3">
      <c r="A89" s="2" t="str" cm="1">
        <f t="array" ref="A89">IFERROR(INDEX(StatTemplateFileList,ROW()),"")</f>
        <v/>
      </c>
    </row>
    <row r="90" spans="1:1" ht="15.75" thickBot="1" x14ac:dyDescent="0.3">
      <c r="A90" s="2" t="str" cm="1">
        <f t="array" ref="A90">IFERROR(INDEX(StatTemplateFileList,ROW()),"")</f>
        <v/>
      </c>
    </row>
    <row r="91" spans="1:1" ht="15.75" thickBot="1" x14ac:dyDescent="0.3">
      <c r="A91" s="2" t="str" cm="1">
        <f t="array" ref="A91">IFERROR(INDEX(StatTemplateFileList,ROW()),"")</f>
        <v/>
      </c>
    </row>
    <row r="92" spans="1:1" ht="15.75" thickBot="1" x14ac:dyDescent="0.3">
      <c r="A92" s="2" t="str" cm="1">
        <f t="array" ref="A92">IFERROR(INDEX(StatTemplateFileList,ROW()),"")</f>
        <v/>
      </c>
    </row>
    <row r="93" spans="1:1" ht="15.75" thickBot="1" x14ac:dyDescent="0.3">
      <c r="A93" s="2" t="str" cm="1">
        <f t="array" ref="A93">IFERROR(INDEX(StatTemplateFileList,ROW()),"")</f>
        <v/>
      </c>
    </row>
    <row r="94" spans="1:1" ht="15.75" thickBot="1" x14ac:dyDescent="0.3">
      <c r="A94" s="2" t="str" cm="1">
        <f t="array" ref="A94">IFERROR(INDEX(StatTemplateFileList,ROW()),"")</f>
        <v/>
      </c>
    </row>
    <row r="95" spans="1:1" ht="15.75" thickBot="1" x14ac:dyDescent="0.3">
      <c r="A95" s="2" t="str" cm="1">
        <f t="array" ref="A95">IFERROR(INDEX(StatTemplateFileList,ROW()),"")</f>
        <v/>
      </c>
    </row>
    <row r="96" spans="1:1" ht="15.75" thickBot="1" x14ac:dyDescent="0.3">
      <c r="A96" s="2" t="str" cm="1">
        <f t="array" ref="A96">IFERROR(INDEX(StatTemplateFileList,ROW()),"")</f>
        <v/>
      </c>
    </row>
    <row r="97" spans="1:1" ht="15.75" thickBot="1" x14ac:dyDescent="0.3">
      <c r="A97" s="2" t="str" cm="1">
        <f t="array" ref="A97">IFERROR(INDEX(StatTemplateFileList,ROW()),"")</f>
        <v/>
      </c>
    </row>
    <row r="98" spans="1:1" ht="15.75" thickBot="1" x14ac:dyDescent="0.3">
      <c r="A98" s="2" t="str" cm="1">
        <f t="array" ref="A98">IFERROR(INDEX(StatTemplateFileList,ROW()),"")</f>
        <v/>
      </c>
    </row>
    <row r="99" spans="1:1" ht="15.75" thickBot="1" x14ac:dyDescent="0.3">
      <c r="A99" s="2" t="str" cm="1">
        <f t="array" ref="A99">IFERROR(INDEX(StatTemplateFileList,ROW()),"")</f>
        <v/>
      </c>
    </row>
    <row r="100" spans="1:1" x14ac:dyDescent="0.25">
      <c r="A100" s="2" t="str" cm="1">
        <f t="array" ref="A100">IFERROR(INDEX(StatTemplateFileList,ROW()),"")</f>
        <v/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References</vt:lpstr>
      <vt:lpstr>Skills</vt:lpstr>
      <vt:lpstr>StatusEffects</vt:lpstr>
      <vt:lpstr>StatTemplates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Giddings</dc:creator>
  <cp:lastModifiedBy>James Giddings</cp:lastModifiedBy>
  <dcterms:created xsi:type="dcterms:W3CDTF">2015-06-05T18:17:20Z</dcterms:created>
  <dcterms:modified xsi:type="dcterms:W3CDTF">2023-03-16T07:49:18Z</dcterms:modified>
</cp:coreProperties>
</file>