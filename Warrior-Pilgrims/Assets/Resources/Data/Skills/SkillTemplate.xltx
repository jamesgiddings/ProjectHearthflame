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H:\Games\GitHub\Warrior-Pilgrims\Warrior-Pilgrims\Assets\Resources\Data\Skills\"/>
    </mc:Choice>
  </mc:AlternateContent>
  <xr:revisionPtr revIDLastSave="0" documentId="13_ncr:1_{D3CDE761-C88B-4EA4-8395-4FB175DFD684}" xr6:coauthVersionLast="47" xr6:coauthVersionMax="47" xr10:uidLastSave="{00000000-0000-0000-0000-000000000000}"/>
  <bookViews>
    <workbookView xWindow="-120" yWindow="-120" windowWidth="29040" windowHeight="15840" tabRatio="690" firstSheet="2" activeTab="11" xr2:uid="{667C735B-F6B4-45F2-A984-86C38890CA9C}"/>
  </bookViews>
  <sheets>
    <sheet name="Settings" sheetId="1" r:id="rId1"/>
    <sheet name="ClassRestrictions" sheetId="2" r:id="rId2"/>
    <sheet name="School" sheetId="3" r:id="rId3"/>
    <sheet name="Prerequisites" sheetId="4" r:id="rId4"/>
    <sheet name="TargetStatusEffects" sheetId="5" r:id="rId5"/>
    <sheet name="TargetDamages" sheetId="6" r:id="rId6"/>
    <sheet name="TargetHealings" sheetId="7" r:id="rId7"/>
    <sheet name="TargetMoves" sheetId="8" r:id="rId8"/>
    <sheet name="SelfStatusEffects" sheetId="9" r:id="rId9"/>
    <sheet name="SelfDamages" sheetId="10" r:id="rId10"/>
    <sheet name="SelfHealings" sheetId="11" r:id="rId11"/>
    <sheet name="SelfMoves" sheetId="12" r:id="rId12"/>
  </sheets>
  <externalReferences>
    <externalReference r:id="rId13"/>
    <externalReference r:id="rId14"/>
    <externalReference r:id="rId15"/>
    <externalReference r:id="rId16"/>
  </externalReferences>
  <definedNames>
    <definedName name="DamagesForList">[1]!Table1[Name]</definedName>
    <definedName name="HealingsForList">[2]!Table1[Name]</definedName>
    <definedName name="StatusEffectsForList">[4]!Table15[StatusEffectNames]</definedName>
    <definedName name="TurnMovesForList">[3]!Table1[Name]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2" l="1"/>
  <c r="B11" i="12"/>
  <c r="C10" i="12"/>
  <c r="B10" i="12"/>
  <c r="C9" i="12"/>
  <c r="B9" i="12"/>
  <c r="C8" i="12"/>
  <c r="B8" i="12"/>
  <c r="C7" i="12"/>
  <c r="B7" i="12"/>
  <c r="C6" i="12"/>
  <c r="B6" i="12"/>
  <c r="C5" i="12"/>
  <c r="B5" i="12"/>
  <c r="C4" i="12"/>
  <c r="B4" i="12"/>
  <c r="C3" i="12"/>
  <c r="B3" i="12"/>
  <c r="C2" i="12"/>
  <c r="B2" i="12"/>
  <c r="C11" i="11"/>
  <c r="B11" i="11"/>
  <c r="C10" i="11"/>
  <c r="B10" i="11"/>
  <c r="C9" i="11"/>
  <c r="B9" i="11"/>
  <c r="C8" i="11"/>
  <c r="B8" i="11"/>
  <c r="C7" i="11"/>
  <c r="B7" i="11"/>
  <c r="C6" i="11"/>
  <c r="B6" i="11"/>
  <c r="C5" i="11"/>
  <c r="B5" i="11"/>
  <c r="C4" i="11"/>
  <c r="B4" i="11"/>
  <c r="C3" i="11"/>
  <c r="B3" i="11"/>
  <c r="C2" i="11"/>
  <c r="B2" i="11"/>
  <c r="D11" i="10"/>
  <c r="C11" i="10"/>
  <c r="B11" i="10"/>
  <c r="D10" i="10"/>
  <c r="C10" i="10"/>
  <c r="B10" i="10"/>
  <c r="D9" i="10"/>
  <c r="C9" i="10"/>
  <c r="B9" i="10"/>
  <c r="D8" i="10"/>
  <c r="C8" i="10"/>
  <c r="B8" i="10"/>
  <c r="D7" i="10"/>
  <c r="C7" i="10"/>
  <c r="B7" i="10"/>
  <c r="D6" i="10"/>
  <c r="C6" i="10"/>
  <c r="B6" i="10"/>
  <c r="D5" i="10"/>
  <c r="C5" i="10"/>
  <c r="B5" i="10"/>
  <c r="D4" i="10"/>
  <c r="C4" i="10"/>
  <c r="B4" i="10"/>
  <c r="D3" i="10"/>
  <c r="C3" i="10"/>
  <c r="B3" i="10"/>
  <c r="D2" i="10"/>
  <c r="C2" i="10"/>
  <c r="B2" i="10"/>
  <c r="C11" i="8" l="1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C3" i="8"/>
  <c r="B3" i="8"/>
  <c r="C2" i="8"/>
  <c r="B2" i="8"/>
  <c r="C11" i="7"/>
  <c r="B11" i="7"/>
  <c r="C10" i="7"/>
  <c r="B10" i="7"/>
  <c r="C9" i="7"/>
  <c r="B9" i="7"/>
  <c r="C8" i="7"/>
  <c r="B8" i="7"/>
  <c r="C7" i="7"/>
  <c r="B7" i="7"/>
  <c r="C6" i="7"/>
  <c r="B6" i="7"/>
  <c r="C5" i="7"/>
  <c r="B5" i="7"/>
  <c r="C4" i="7"/>
  <c r="B4" i="7"/>
  <c r="C3" i="7"/>
  <c r="B3" i="7"/>
  <c r="C2" i="7"/>
  <c r="B2" i="7"/>
  <c r="D11" i="6"/>
  <c r="C11" i="6"/>
  <c r="B11" i="6"/>
  <c r="D10" i="6"/>
  <c r="C10" i="6"/>
  <c r="B10" i="6"/>
  <c r="D9" i="6"/>
  <c r="C9" i="6"/>
  <c r="B9" i="6"/>
  <c r="D8" i="6"/>
  <c r="C8" i="6"/>
  <c r="B8" i="6"/>
  <c r="D7" i="6"/>
  <c r="C7" i="6"/>
  <c r="B7" i="6"/>
  <c r="D6" i="6"/>
  <c r="C6" i="6"/>
  <c r="B6" i="6"/>
  <c r="D5" i="6"/>
  <c r="C5" i="6"/>
  <c r="B5" i="6"/>
  <c r="D4" i="6"/>
  <c r="C4" i="6"/>
  <c r="B4" i="6"/>
  <c r="D3" i="6"/>
  <c r="C3" i="6"/>
  <c r="B3" i="6"/>
  <c r="D2" i="6"/>
  <c r="C2" i="6"/>
  <c r="B2" i="6"/>
</calcChain>
</file>

<file path=xl/sharedStrings.xml><?xml version="1.0" encoding="utf-8"?>
<sst xmlns="http://schemas.openxmlformats.org/spreadsheetml/2006/main" count="24" uniqueCount="6">
  <si>
    <t>Name</t>
  </si>
  <si>
    <t>Damage Type</t>
  </si>
  <si>
    <t>Magnitude</t>
  </si>
  <si>
    <t>Value</t>
  </si>
  <si>
    <t>Move Type</t>
  </si>
  <si>
    <t>Accuracy Malus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</si>
</sst>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7">
    <xf numFmtId="0" fontId="0" fillId="0" borderId="0" xfId="0"/>
    <xf numFmtId="0" fontId="1" fillId="2" borderId="1" xfId="1" applyProtection="1">
      <protection locked="0"/>
    </xf>
    <xf numFmtId="0" fontId="2" fillId="3" borderId="1" xfId="2"/>
    <xf numFmtId="0" fontId="3" fillId="4" borderId="2" xfId="0" applyFont="1" applyFill="1" applyBorder="1"/>
    <xf numFmtId="0" fontId="3" fillId="4" borderId="3" xfId="0" applyFont="1" applyFill="1" applyBorder="1"/>
    <xf numFmtId="0" fontId="1" fillId="2" borderId="4" xfId="1" applyBorder="1" applyProtection="1">
      <protection locked="0"/>
    </xf>
    <xf numFmtId="0" fontId="2" fillId="3" borderId="4" xfId="2" applyBorder="1"/>
  </cellXfs>
  <cellStyles count="3">
    <cellStyle name="Calculation" xfId="2" builtinId="22"/>
    <cellStyle name="Input" xfId="1" builtinId="20"/>
    <cellStyle name="Normal" xfId="0" builtinId="0"/>
  </cellStyles>
  <dxfs count="24">
    <dxf>
      <numFmt numFmtId="0" formatCode="General"/>
    </dxf>
    <dxf>
      <numFmt numFmtId="0" formatCode="General"/>
    </dxf>
    <dxf>
      <protection locked="0" hidden="0"/>
    </dxf>
    <dxf>
      <border outline="0">
        <top style="thin">
          <color rgb="FF7F7F7F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numFmt numFmtId="0" formatCode="General"/>
    </dxf>
    <dxf>
      <numFmt numFmtId="0" formatCode="General"/>
    </dxf>
    <dxf>
      <protection locked="0" hidden="0"/>
    </dxf>
    <dxf>
      <border outline="0">
        <top style="thin">
          <color rgb="FF7F7F7F"/>
        </top>
      </border>
    </dxf>
    <dxf>
      <border outline="0">
        <top style="thin">
          <color theme="4" tint="0.39997558519241921"/>
        </top>
        <bottom style="thin">
          <color rgb="FF7F7F7F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Damage\Damages.xlsx" TargetMode="External"/><Relationship Id="rId1" Type="http://schemas.openxmlformats.org/officeDocument/2006/relationships/externalLinkPath" Target="/Games/GitHub/Warrior-Pilgrims/Warrior-Pilgrims/Assets/Resources/Data/Damage/Damage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Healing\Healings.xlsx" TargetMode="External"/><Relationship Id="rId1" Type="http://schemas.openxmlformats.org/officeDocument/2006/relationships/externalLinkPath" Target="/Games/GitHub/Warrior-Pilgrims/Warrior-Pilgrims/Assets/Resources/Data/Healing/Healing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Move\Moves.xlsx" TargetMode="External"/><Relationship Id="rId1" Type="http://schemas.openxmlformats.org/officeDocument/2006/relationships/externalLinkPath" Target="/Games/GitHub/Warrior-Pilgrims/Warrior-Pilgrims/Assets/Resources/Data/Move/Move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ListReference.xlsm" TargetMode="External"/><Relationship Id="rId1" Type="http://schemas.openxmlformats.org/officeDocument/2006/relationships/externalLinkPath" Target="/Games/GitHub/Warrior-Pilgrims/Warrior-Pilgrims/Assets/Resources/Data/ListReferen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ences"/>
      <sheetName val="Skills"/>
      <sheetName val="StatusEffects"/>
    </sheetNames>
    <sheetDataSet>
      <sheetData sheetId="0">
        <row r="2">
          <cell r="B2" t="str">
            <v>H:\Games\GitHub\Warrior-Pilgrims\Warrior-Pilgrims\Assets\Resources\Data\Status Effects\Status Effects\*xls*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0FB992-107E-4F1D-BFDD-7CAEF16A2124}" name="Table4" displayName="Table4" ref="A1:A2" totalsRowShown="0">
  <autoFilter ref="A1:A2" xr:uid="{580FB992-107E-4F1D-BFDD-7CAEF16A2124}"/>
  <tableColumns count="1">
    <tableColumn id="1" xr3:uid="{5B81A157-FD3F-4664-99A3-7C2CD1A9B2C2}" name="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8F5E8E-A9B6-4217-B8B1-A6406F8304E1}" name="Table15" displayName="Table15" ref="A1:D11" totalsRowShown="0">
  <autoFilter ref="A1:D11" xr:uid="{808F5E8E-A9B6-4217-B8B1-A6406F8304E1}"/>
  <tableColumns count="4">
    <tableColumn id="1" xr3:uid="{6FF8D770-953E-4934-9268-CCE7D1AF3784}" name="Name" dataDxfId="23" dataCellStyle="Input"/>
    <tableColumn id="2" xr3:uid="{211F83BC-2396-4558-A655-A191FAD86081}" name="Damage Type" dataDxfId="22" dataCellStyle="Calculation">
      <calculatedColumnFormula>IFERROR(VLOOKUP(Table15[[#This Row],[Name]], [1]!Table1[#Data], 2, FALSE), "")</calculatedColumnFormula>
    </tableColumn>
    <tableColumn id="3" xr3:uid="{F2397332-1488-4F14-AF27-E6B70C63262A}" name="Magnitude" dataDxfId="21" dataCellStyle="Calculation">
      <calculatedColumnFormula>IFERROR(VLOOKUP(Table15[[#This Row],[Name]], [1]!Table1[#Data], 3, FALSE), "")</calculatedColumnFormula>
    </tableColumn>
    <tableColumn id="4" xr3:uid="{56BA6F22-BAC5-4CA5-97B1-62391D457615}" name="Value" dataDxfId="20" dataCellStyle="Calculation">
      <calculatedColumnFormula>IFERROR(VLOOKUP(Table15[[#This Row],[Name]], [1]!Table1[#Data],4, FALSE), 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E9DEEF-0C2D-417B-97B7-620DE04531AB}" name="Table156" displayName="Table156" ref="A1:C11" totalsRowShown="0">
  <autoFilter ref="A1:C11" xr:uid="{FEE9DEEF-0C2D-417B-97B7-620DE04531AB}"/>
  <tableColumns count="3">
    <tableColumn id="1" xr3:uid="{B959E925-44AA-45B3-B170-0C3B51557CFF}" name="Name" dataDxfId="19" dataCellStyle="Input"/>
    <tableColumn id="2" xr3:uid="{1C5190B0-A478-48C6-88F0-3AD049BA1253}" name="Magnitude" dataCellStyle="Calculation">
      <calculatedColumnFormula>IFERROR(VLOOKUP(Table156[[#This Row],[Name]], [2]!Table1[#Data], 2, FALSE), "")</calculatedColumnFormula>
    </tableColumn>
    <tableColumn id="3" xr3:uid="{C6C470A7-9DD2-46D0-AF78-5C52823FF6E7}" name="Value" dataCellStyle="Calculation">
      <calculatedColumnFormula>IFERROR(VLOOKUP(Table156[[#This Row],[Name]], [2]!Table1[#Data], 3, FALSE), 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4B4C87-F3F7-40F4-AA0D-3B970166182A}" name="Table8" displayName="Table8" ref="A1:C11" totalsRowShown="0" headerRowDxfId="18" headerRowBorderDxfId="17" tableBorderDxfId="16" totalsRowBorderDxfId="15">
  <autoFilter ref="A1:C11" xr:uid="{434B4C87-F3F7-40F4-AA0D-3B970166182A}"/>
  <tableColumns count="3">
    <tableColumn id="1" xr3:uid="{2997A1E7-0C1D-4B3C-A650-D7C3564DBF3B}" name="Name" dataDxfId="14" dataCellStyle="Input"/>
    <tableColumn id="2" xr3:uid="{725B6D8C-6388-41A2-913D-6D994D678DB2}" name="Move Type" dataDxfId="13" dataCellStyle="Calculation">
      <calculatedColumnFormula>IFERROR(VLOOKUP(Table8[[#This Row],[Name]], [3]!Table1[#Data], 2, FALSE), "")</calculatedColumnFormula>
    </tableColumn>
    <tableColumn id="3" xr3:uid="{3E34AA49-2817-4F52-A871-9E3E4CCD021A}" name="Value" dataDxfId="12" dataCellStyle="Calculation">
      <calculatedColumnFormula>IFERROR(VLOOKUP(Table8[[#This Row],[Name]], [3]!Table1[#Data], 3, FALSE),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973877-5051-4812-BB1B-8CEA82483A60}" name="Table46" displayName="Table46" ref="A1:A2" totalsRowShown="0">
  <autoFilter ref="A1:A2" xr:uid="{E3973877-5051-4812-BB1B-8CEA82483A60}"/>
  <tableColumns count="1">
    <tableColumn id="1" xr3:uid="{FF577CC8-96A0-4401-B5F4-F369CC674D54}" name="Na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8BA8AA-F0A1-45D6-8234-824E419BE0BD}" name="Table157" displayName="Table157" ref="A1:D11" totalsRowShown="0">
  <autoFilter ref="A1:D11" xr:uid="{218BA8AA-F0A1-45D6-8234-824E419BE0BD}"/>
  <tableColumns count="4">
    <tableColumn id="1" xr3:uid="{6D67EB15-C4E3-4DD9-8E9D-29BF9E4B2506}" name="Name" dataDxfId="11" dataCellStyle="Input"/>
    <tableColumn id="2" xr3:uid="{08057153-8A75-4790-AEC6-99408CA97DF7}" name="Damage Type" dataDxfId="10" dataCellStyle="Calculation">
      <calculatedColumnFormula>IFERROR(VLOOKUP(Table157[[#This Row],[Name]], [1]!Table1[#Data], 2, FALSE), "")</calculatedColumnFormula>
    </tableColumn>
    <tableColumn id="3" xr3:uid="{81565F0A-7C33-41FF-AF6D-79B45A1CA238}" name="Magnitude" dataDxfId="9" dataCellStyle="Calculation">
      <calculatedColumnFormula>IFERROR(VLOOKUP(Table157[[#This Row],[Name]], [1]!Table1[#Data], 3, FALSE), "")</calculatedColumnFormula>
    </tableColumn>
    <tableColumn id="4" xr3:uid="{4267BE36-A699-4308-A89D-97EA47AFF558}" name="Value" dataDxfId="8" dataCellStyle="Calculation">
      <calculatedColumnFormula>IFERROR(VLOOKUP(Table157[[#This Row],[Name]], [1]!Table1[#Data],4, FALSE), 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A1E8ADA-67F4-4BEF-88BC-688BDBEE96EE}" name="Table1568" displayName="Table1568" ref="A1:C11" totalsRowShown="0">
  <autoFilter ref="A1:C11" xr:uid="{DA1E8ADA-67F4-4BEF-88BC-688BDBEE96EE}"/>
  <tableColumns count="3">
    <tableColumn id="1" xr3:uid="{28B7BB1A-66F5-4BCF-8850-9D102021D925}" name="Name" dataDxfId="7" dataCellStyle="Input"/>
    <tableColumn id="2" xr3:uid="{9AA55F83-005C-46EF-844D-3924F41BD99F}" name="Magnitude" dataCellStyle="Calculation">
      <calculatedColumnFormula>IFERROR(VLOOKUP(Table1568[[#This Row],[Name]], [2]!Table1[#Data], 2, FALSE), "")</calculatedColumnFormula>
    </tableColumn>
    <tableColumn id="3" xr3:uid="{8C0792F7-D421-4924-9975-884D88F0D8D5}" name="Value" dataCellStyle="Calculation">
      <calculatedColumnFormula>IFERROR(VLOOKUP(Table1568[[#This Row],[Name]], [2]!Table1[#Data], 3, FALSE), 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DCF510-8D4A-4C7C-A886-1EE399361DDF}" name="Table89" displayName="Table89" ref="A1:C11" totalsRowShown="0" headerRowDxfId="6" headerRowBorderDxfId="4" tableBorderDxfId="5" totalsRowBorderDxfId="3">
  <autoFilter ref="A1:C11" xr:uid="{FCDCF510-8D4A-4C7C-A886-1EE399361DDF}"/>
  <tableColumns count="3">
    <tableColumn id="1" xr3:uid="{06008B4D-CC63-49C6-B639-5ACC49F7DA35}" name="Name" dataDxfId="2" dataCellStyle="Input"/>
    <tableColumn id="2" xr3:uid="{D06FAA41-8678-454E-83EE-C615EED9826A}" name="Move Type" dataDxfId="1" dataCellStyle="Calculation">
      <calculatedColumnFormula>IFERROR(VLOOKUP(Table89[[#This Row],[Name]], [3]!Table1[#Data], 2, FALSE), "")</calculatedColumnFormula>
    </tableColumn>
    <tableColumn id="3" xr3:uid="{79E12F32-41F6-4CCA-8D6F-0A97DCB5EAC7}" name="Value" dataDxfId="0" dataCellStyle="Calculation">
      <calculatedColumnFormula>IFERROR(VLOOKUP(Table89[[#This Row],[Name]], [3]!Table1[#Data], 3, FALSE),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58838-CE29-4161-9EBA-86E04BBADA51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AC36F-ED3E-4A6D-9515-E1205877F2DA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A7116-EF4E-410D-B782-75E2B38E168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08073-3DE6-44C7-87E4-9B8193A5B0B7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7A65E-DC08-433F-98EE-E8DB798A2895}">
  <dimension ref="A1:A2"/>
  <sheetViews>
    <sheetView workbookViewId="0">
      <selection activeCell="C3" sqref="C3"/>
    </sheetView>
  </sheetViews>
  <sheetFormatPr defaultRowHeight="15" x14ac:dyDescent="0.25"/>
  <cols>
    <col min="1" max="1" width="19.5703125" customWidth="1"/>
  </cols>
  <sheetData>
    <row r="1" spans="1:1" x14ac:dyDescent="0.25">
      <c r="A1" t="s">
        <v>0</v>
      </c>
    </row>
    <row r="2" spans="1:1" x14ac:dyDescent="0.25">
      <c r="A2" t="s">
        <v>5</v>
      </c>
    </row>
  </sheetData>
  <phoneticPr fontId="4" type="noConversion"/>
  <dataValidations count="1">
    <dataValidation type="list" allowBlank="1" showInputMessage="1" showErrorMessage="1" sqref="A2" xr:uid="{7EDBF046-42CA-4187-B61E-5D83ACDD7805}">
      <formula1>StatusEffectsForList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42C42-C1FA-47B2-9100-47BE84176EC2}">
  <dimension ref="A1:D11"/>
  <sheetViews>
    <sheetView workbookViewId="0">
      <selection activeCell="D11" sqref="A1:D11"/>
    </sheetView>
  </sheetViews>
  <sheetFormatPr defaultRowHeight="15" x14ac:dyDescent="0.25"/>
  <cols>
    <col min="1" max="1" width="21.140625" customWidth="1"/>
    <col min="2" max="2" width="14.85546875" customWidth="1"/>
    <col min="3" max="3" width="13.5703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/>
      <c r="B2" s="2" t="str">
        <f>IFERROR(VLOOKUP(Table15[[#This Row],[Name]], [1]!Table1[#Data], 2, FALSE), "")</f>
        <v/>
      </c>
      <c r="C2" s="2" t="str">
        <f>IFERROR(VLOOKUP(Table15[[#This Row],[Name]], [1]!Table1[#Data], 3, FALSE), "")</f>
        <v/>
      </c>
      <c r="D2" s="2" t="str">
        <f>IFERROR(VLOOKUP(Table15[[#This Row],[Name]], [1]!Table1[#Data],4, FALSE), "")</f>
        <v/>
      </c>
    </row>
    <row r="3" spans="1:4" x14ac:dyDescent="0.25">
      <c r="A3" s="1"/>
      <c r="B3" s="2" t="str">
        <f>IFERROR(VLOOKUP(Table15[[#This Row],[Name]], [1]!Table1[#Data], 2, FALSE), "")</f>
        <v/>
      </c>
      <c r="C3" s="2" t="str">
        <f>IFERROR(VLOOKUP(Table15[[#This Row],[Name]], [1]!Table1[#Data], 3, FALSE), "")</f>
        <v/>
      </c>
      <c r="D3" s="2" t="str">
        <f>IFERROR(VLOOKUP(Table15[[#This Row],[Name]], [1]!Table1[#Data],4, FALSE), "")</f>
        <v/>
      </c>
    </row>
    <row r="4" spans="1:4" x14ac:dyDescent="0.25">
      <c r="A4" s="1"/>
      <c r="B4" s="2" t="str">
        <f>IFERROR(VLOOKUP(Table15[[#This Row],[Name]], [1]!Table1[#Data], 2, FALSE), "")</f>
        <v/>
      </c>
      <c r="C4" s="2" t="str">
        <f>IFERROR(VLOOKUP(Table15[[#This Row],[Name]], [1]!Table1[#Data], 3, FALSE), "")</f>
        <v/>
      </c>
      <c r="D4" s="2" t="str">
        <f>IFERROR(VLOOKUP(Table15[[#This Row],[Name]], [1]!Table1[#Data],4, FALSE), "")</f>
        <v/>
      </c>
    </row>
    <row r="5" spans="1:4" x14ac:dyDescent="0.25">
      <c r="A5" s="1"/>
      <c r="B5" s="2" t="str">
        <f>IFERROR(VLOOKUP(Table15[[#This Row],[Name]], [1]!Table1[#Data], 2, FALSE), "")</f>
        <v/>
      </c>
      <c r="C5" s="2" t="str">
        <f>IFERROR(VLOOKUP(Table15[[#This Row],[Name]], [1]!Table1[#Data], 3, FALSE), "")</f>
        <v/>
      </c>
      <c r="D5" s="2" t="str">
        <f>IFERROR(VLOOKUP(Table15[[#This Row],[Name]], [1]!Table1[#Data],4, FALSE), "")</f>
        <v/>
      </c>
    </row>
    <row r="6" spans="1:4" x14ac:dyDescent="0.25">
      <c r="A6" s="1"/>
      <c r="B6" s="2" t="str">
        <f>IFERROR(VLOOKUP(Table15[[#This Row],[Name]], [1]!Table1[#Data], 2, FALSE), "")</f>
        <v/>
      </c>
      <c r="C6" s="2" t="str">
        <f>IFERROR(VLOOKUP(Table15[[#This Row],[Name]], [1]!Table1[#Data], 3, FALSE), "")</f>
        <v/>
      </c>
      <c r="D6" s="2" t="str">
        <f>IFERROR(VLOOKUP(Table15[[#This Row],[Name]], [1]!Table1[#Data],4, FALSE), "")</f>
        <v/>
      </c>
    </row>
    <row r="7" spans="1:4" x14ac:dyDescent="0.25">
      <c r="A7" s="1"/>
      <c r="B7" s="2" t="str">
        <f>IFERROR(VLOOKUP(Table15[[#This Row],[Name]], [1]!Table1[#Data], 2, FALSE), "")</f>
        <v/>
      </c>
      <c r="C7" s="2" t="str">
        <f>IFERROR(VLOOKUP(Table15[[#This Row],[Name]], [1]!Table1[#Data], 3, FALSE), "")</f>
        <v/>
      </c>
      <c r="D7" s="2" t="str">
        <f>IFERROR(VLOOKUP(Table15[[#This Row],[Name]], [1]!Table1[#Data],4, FALSE), "")</f>
        <v/>
      </c>
    </row>
    <row r="8" spans="1:4" x14ac:dyDescent="0.25">
      <c r="A8" s="1"/>
      <c r="B8" s="2" t="str">
        <f>IFERROR(VLOOKUP(Table15[[#This Row],[Name]], [1]!Table1[#Data], 2, FALSE), "")</f>
        <v/>
      </c>
      <c r="C8" s="2" t="str">
        <f>IFERROR(VLOOKUP(Table15[[#This Row],[Name]], [1]!Table1[#Data], 3, FALSE), "")</f>
        <v/>
      </c>
      <c r="D8" s="2" t="str">
        <f>IFERROR(VLOOKUP(Table15[[#This Row],[Name]], [1]!Table1[#Data],4, FALSE), "")</f>
        <v/>
      </c>
    </row>
    <row r="9" spans="1:4" x14ac:dyDescent="0.25">
      <c r="A9" s="1"/>
      <c r="B9" s="2" t="str">
        <f>IFERROR(VLOOKUP(Table15[[#This Row],[Name]], [1]!Table1[#Data], 2, FALSE), "")</f>
        <v/>
      </c>
      <c r="C9" s="2" t="str">
        <f>IFERROR(VLOOKUP(Table15[[#This Row],[Name]], [1]!Table1[#Data], 3, FALSE), "")</f>
        <v/>
      </c>
      <c r="D9" s="2" t="str">
        <f>IFERROR(VLOOKUP(Table15[[#This Row],[Name]], [1]!Table1[#Data],4, FALSE), "")</f>
        <v/>
      </c>
    </row>
    <row r="10" spans="1:4" x14ac:dyDescent="0.25">
      <c r="A10" s="1"/>
      <c r="B10" s="2" t="str">
        <f>IFERROR(VLOOKUP(Table15[[#This Row],[Name]], [1]!Table1[#Data], 2, FALSE), "")</f>
        <v/>
      </c>
      <c r="C10" s="2" t="str">
        <f>IFERROR(VLOOKUP(Table15[[#This Row],[Name]], [1]!Table1[#Data], 3, FALSE), "")</f>
        <v/>
      </c>
      <c r="D10" s="2" t="str">
        <f>IFERROR(VLOOKUP(Table15[[#This Row],[Name]], [1]!Table1[#Data],4, FALSE), "")</f>
        <v/>
      </c>
    </row>
    <row r="11" spans="1:4" x14ac:dyDescent="0.25">
      <c r="A11" s="1"/>
      <c r="B11" s="2" t="str">
        <f>IFERROR(VLOOKUP(Table15[[#This Row],[Name]], [1]!Table1[#Data], 2, FALSE), "")</f>
        <v/>
      </c>
      <c r="C11" s="2" t="str">
        <f>IFERROR(VLOOKUP(Table15[[#This Row],[Name]], [1]!Table1[#Data], 3, FALSE), "")</f>
        <v/>
      </c>
      <c r="D11" s="2" t="str">
        <f>IFERROR(VLOOKUP(Table15[[#This Row],[Name]], [1]!Table1[#Data],4, FALSE), "")</f>
        <v/>
      </c>
    </row>
  </sheetData>
  <dataValidations count="1">
    <dataValidation type="list" allowBlank="1" showInputMessage="1" showErrorMessage="1" sqref="A2:A11" xr:uid="{BA5DABA9-8989-4EAE-AE59-A5CB182CCFCA}">
      <formula1>DamagesForList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20C87-C104-4A20-A8DB-4E02E5C3C4CE}">
  <dimension ref="A1:C11"/>
  <sheetViews>
    <sheetView workbookViewId="0">
      <selection activeCell="C11" sqref="A1:C11"/>
    </sheetView>
  </sheetViews>
  <sheetFormatPr defaultRowHeight="15" x14ac:dyDescent="0.25"/>
  <cols>
    <col min="1" max="1" width="24.7109375" customWidth="1"/>
    <col min="2" max="2" width="13.28515625" customWidth="1"/>
  </cols>
  <sheetData>
    <row r="1" spans="1:3" x14ac:dyDescent="0.25">
      <c r="A1" t="s">
        <v>0</v>
      </c>
      <c r="B1" t="s">
        <v>2</v>
      </c>
      <c r="C1" t="s">
        <v>3</v>
      </c>
    </row>
    <row r="2" spans="1:3" x14ac:dyDescent="0.25">
      <c r="A2" s="1"/>
      <c r="B2" s="2" t="str">
        <f>IFERROR(VLOOKUP(Table156[[#This Row],[Name]], [2]!Table1[#Data], 2, FALSE), "")</f>
        <v/>
      </c>
      <c r="C2" s="2" t="str">
        <f>IFERROR(VLOOKUP(Table156[[#This Row],[Name]], [2]!Table1[#Data], 3, FALSE), "")</f>
        <v/>
      </c>
    </row>
    <row r="3" spans="1:3" x14ac:dyDescent="0.25">
      <c r="A3" s="1"/>
      <c r="B3" s="2" t="str">
        <f>IFERROR(VLOOKUP(Table156[[#This Row],[Name]], [2]!Table1[#Data], 2, FALSE), "")</f>
        <v/>
      </c>
      <c r="C3" s="2" t="str">
        <f>IFERROR(VLOOKUP(Table156[[#This Row],[Name]], [2]!Table1[#Data], 3, FALSE), "")</f>
        <v/>
      </c>
    </row>
    <row r="4" spans="1:3" x14ac:dyDescent="0.25">
      <c r="A4" s="1"/>
      <c r="B4" s="2" t="str">
        <f>IFERROR(VLOOKUP(Table156[[#This Row],[Name]], [2]!Table1[#Data], 2, FALSE), "")</f>
        <v/>
      </c>
      <c r="C4" s="2" t="str">
        <f>IFERROR(VLOOKUP(Table156[[#This Row],[Name]], [2]!Table1[#Data], 3, FALSE), "")</f>
        <v/>
      </c>
    </row>
    <row r="5" spans="1:3" x14ac:dyDescent="0.25">
      <c r="A5" s="1"/>
      <c r="B5" s="2" t="str">
        <f>IFERROR(VLOOKUP(Table156[[#This Row],[Name]], [2]!Table1[#Data], 2, FALSE), "")</f>
        <v/>
      </c>
      <c r="C5" s="2" t="str">
        <f>IFERROR(VLOOKUP(Table156[[#This Row],[Name]], [2]!Table1[#Data], 3, FALSE), "")</f>
        <v/>
      </c>
    </row>
    <row r="6" spans="1:3" x14ac:dyDescent="0.25">
      <c r="A6" s="1"/>
      <c r="B6" s="2" t="str">
        <f>IFERROR(VLOOKUP(Table156[[#This Row],[Name]], [2]!Table1[#Data], 2, FALSE), "")</f>
        <v/>
      </c>
      <c r="C6" s="2" t="str">
        <f>IFERROR(VLOOKUP(Table156[[#This Row],[Name]], [2]!Table1[#Data], 3, FALSE), "")</f>
        <v/>
      </c>
    </row>
    <row r="7" spans="1:3" x14ac:dyDescent="0.25">
      <c r="A7" s="1"/>
      <c r="B7" s="2" t="str">
        <f>IFERROR(VLOOKUP(Table156[[#This Row],[Name]], [2]!Table1[#Data], 2, FALSE), "")</f>
        <v/>
      </c>
      <c r="C7" s="2" t="str">
        <f>IFERROR(VLOOKUP(Table156[[#This Row],[Name]], [2]!Table1[#Data], 3, FALSE), "")</f>
        <v/>
      </c>
    </row>
    <row r="8" spans="1:3" x14ac:dyDescent="0.25">
      <c r="A8" s="1"/>
      <c r="B8" s="2" t="str">
        <f>IFERROR(VLOOKUP(Table156[[#This Row],[Name]], [2]!Table1[#Data], 2, FALSE), "")</f>
        <v/>
      </c>
      <c r="C8" s="2" t="str">
        <f>IFERROR(VLOOKUP(Table156[[#This Row],[Name]], [2]!Table1[#Data], 3, FALSE), "")</f>
        <v/>
      </c>
    </row>
    <row r="9" spans="1:3" x14ac:dyDescent="0.25">
      <c r="A9" s="1"/>
      <c r="B9" s="2" t="str">
        <f>IFERROR(VLOOKUP(Table156[[#This Row],[Name]], [2]!Table1[#Data], 2, FALSE), "")</f>
        <v/>
      </c>
      <c r="C9" s="2" t="str">
        <f>IFERROR(VLOOKUP(Table156[[#This Row],[Name]], [2]!Table1[#Data], 3, FALSE), "")</f>
        <v/>
      </c>
    </row>
    <row r="10" spans="1:3" x14ac:dyDescent="0.25">
      <c r="A10" s="1"/>
      <c r="B10" s="2" t="str">
        <f>IFERROR(VLOOKUP(Table156[[#This Row],[Name]], [2]!Table1[#Data], 2, FALSE), "")</f>
        <v/>
      </c>
      <c r="C10" s="2" t="str">
        <f>IFERROR(VLOOKUP(Table156[[#This Row],[Name]], [2]!Table1[#Data], 3, FALSE), "")</f>
        <v/>
      </c>
    </row>
    <row r="11" spans="1:3" x14ac:dyDescent="0.25">
      <c r="A11" s="1"/>
      <c r="B11" s="2" t="str">
        <f>IFERROR(VLOOKUP(Table156[[#This Row],[Name]], [2]!Table1[#Data], 2, FALSE), "")</f>
        <v/>
      </c>
      <c r="C11" s="2" t="str">
        <f>IFERROR(VLOOKUP(Table156[[#This Row],[Name]], [2]!Table1[#Data], 3, FALSE), "")</f>
        <v/>
      </c>
    </row>
  </sheetData>
  <dataValidations count="1">
    <dataValidation type="list" allowBlank="1" showInputMessage="1" showErrorMessage="1" sqref="A2:A11" xr:uid="{279A4F65-D299-4775-944F-85B67FC31D3D}">
      <formula1>HealingsForList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F8CFC-F326-4D35-932B-D8EF93A3A043}">
  <dimension ref="A1:C11"/>
  <sheetViews>
    <sheetView workbookViewId="0">
      <selection sqref="A1:C11"/>
    </sheetView>
  </sheetViews>
  <sheetFormatPr defaultRowHeight="15" x14ac:dyDescent="0.25"/>
  <cols>
    <col min="1" max="1" width="22.85546875" customWidth="1"/>
    <col min="2" max="2" width="13.42578125" customWidth="1"/>
  </cols>
  <sheetData>
    <row r="1" spans="1:3" x14ac:dyDescent="0.25">
      <c r="A1" s="3" t="s">
        <v>0</v>
      </c>
      <c r="B1" s="4" t="s">
        <v>4</v>
      </c>
      <c r="C1" s="4" t="s">
        <v>3</v>
      </c>
    </row>
    <row r="2" spans="1:3" x14ac:dyDescent="0.25">
      <c r="A2" s="1"/>
      <c r="B2" s="2" t="str">
        <f>IFERROR(VLOOKUP(Table8[[#This Row],[Name]], [3]!Table1[#Data], 2, FALSE), "")</f>
        <v/>
      </c>
      <c r="C2" s="2" t="str">
        <f>IFERROR(VLOOKUP(Table8[[#This Row],[Name]], [3]!Table1[#Data], 3, FALSE), "")</f>
        <v/>
      </c>
    </row>
    <row r="3" spans="1:3" x14ac:dyDescent="0.25">
      <c r="A3" s="1"/>
      <c r="B3" s="2" t="str">
        <f>IFERROR(VLOOKUP(Table8[[#This Row],[Name]], [3]!Table1[#Data], 2, FALSE), "")</f>
        <v/>
      </c>
      <c r="C3" s="2" t="str">
        <f>IFERROR(VLOOKUP(Table8[[#This Row],[Name]], [3]!Table1[#Data], 3, FALSE), "")</f>
        <v/>
      </c>
    </row>
    <row r="4" spans="1:3" x14ac:dyDescent="0.25">
      <c r="A4" s="1"/>
      <c r="B4" s="2" t="str">
        <f>IFERROR(VLOOKUP(Table8[[#This Row],[Name]], [3]!Table1[#Data], 2, FALSE), "")</f>
        <v/>
      </c>
      <c r="C4" s="2" t="str">
        <f>IFERROR(VLOOKUP(Table8[[#This Row],[Name]], [3]!Table1[#Data], 3, FALSE), "")</f>
        <v/>
      </c>
    </row>
    <row r="5" spans="1:3" x14ac:dyDescent="0.25">
      <c r="A5" s="1"/>
      <c r="B5" s="2" t="str">
        <f>IFERROR(VLOOKUP(Table8[[#This Row],[Name]], [3]!Table1[#Data], 2, FALSE), "")</f>
        <v/>
      </c>
      <c r="C5" s="2" t="str">
        <f>IFERROR(VLOOKUP(Table8[[#This Row],[Name]], [3]!Table1[#Data], 3, FALSE), "")</f>
        <v/>
      </c>
    </row>
    <row r="6" spans="1:3" x14ac:dyDescent="0.25">
      <c r="A6" s="1"/>
      <c r="B6" s="2" t="str">
        <f>IFERROR(VLOOKUP(Table8[[#This Row],[Name]], [3]!Table1[#Data], 2, FALSE), "")</f>
        <v/>
      </c>
      <c r="C6" s="2" t="str">
        <f>IFERROR(VLOOKUP(Table8[[#This Row],[Name]], [3]!Table1[#Data], 3, FALSE), "")</f>
        <v/>
      </c>
    </row>
    <row r="7" spans="1:3" x14ac:dyDescent="0.25">
      <c r="A7" s="1"/>
      <c r="B7" s="2" t="str">
        <f>IFERROR(VLOOKUP(Table8[[#This Row],[Name]], [3]!Table1[#Data], 2, FALSE), "")</f>
        <v/>
      </c>
      <c r="C7" s="2" t="str">
        <f>IFERROR(VLOOKUP(Table8[[#This Row],[Name]], [3]!Table1[#Data], 3, FALSE), "")</f>
        <v/>
      </c>
    </row>
    <row r="8" spans="1:3" x14ac:dyDescent="0.25">
      <c r="A8" s="1"/>
      <c r="B8" s="2" t="str">
        <f>IFERROR(VLOOKUP(Table8[[#This Row],[Name]], [3]!Table1[#Data], 2, FALSE), "")</f>
        <v/>
      </c>
      <c r="C8" s="2" t="str">
        <f>IFERROR(VLOOKUP(Table8[[#This Row],[Name]], [3]!Table1[#Data], 3, FALSE), "")</f>
        <v/>
      </c>
    </row>
    <row r="9" spans="1:3" x14ac:dyDescent="0.25">
      <c r="A9" s="1"/>
      <c r="B9" s="2" t="str">
        <f>IFERROR(VLOOKUP(Table8[[#This Row],[Name]], [3]!Table1[#Data], 2, FALSE), "")</f>
        <v/>
      </c>
      <c r="C9" s="2" t="str">
        <f>IFERROR(VLOOKUP(Table8[[#This Row],[Name]], [3]!Table1[#Data], 3, FALSE), "")</f>
        <v/>
      </c>
    </row>
    <row r="10" spans="1:3" x14ac:dyDescent="0.25">
      <c r="A10" s="1"/>
      <c r="B10" s="2" t="str">
        <f>IFERROR(VLOOKUP(Table8[[#This Row],[Name]], [3]!Table1[#Data], 2, FALSE), "")</f>
        <v/>
      </c>
      <c r="C10" s="2" t="str">
        <f>IFERROR(VLOOKUP(Table8[[#This Row],[Name]], [3]!Table1[#Data], 3, FALSE), "")</f>
        <v/>
      </c>
    </row>
    <row r="11" spans="1:3" x14ac:dyDescent="0.25">
      <c r="A11" s="5"/>
      <c r="B11" s="6" t="str">
        <f>IFERROR(VLOOKUP(Table8[[#This Row],[Name]], [3]!Table1[#Data], 2, FALSE), "")</f>
        <v/>
      </c>
      <c r="C11" s="6" t="str">
        <f>IFERROR(VLOOKUP(Table8[[#This Row],[Name]], [3]!Table1[#Data], 3, FALSE), "")</f>
        <v/>
      </c>
    </row>
  </sheetData>
  <dataValidations count="1">
    <dataValidation type="list" allowBlank="1" showInputMessage="1" showErrorMessage="1" sqref="A2:A11" xr:uid="{BD229B07-094B-4DF9-9F08-7E50288E7A75}">
      <formula1>TurnMovesForList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E0B9-BCED-4261-A9BD-CFB1C457E103}">
  <dimension ref="A1:A2"/>
  <sheetViews>
    <sheetView workbookViewId="0">
      <selection activeCell="B3" sqref="B3"/>
    </sheetView>
  </sheetViews>
  <sheetFormatPr defaultRowHeight="15" x14ac:dyDescent="0.25"/>
  <cols>
    <col min="1" max="1" width="19.7109375" customWidth="1"/>
  </cols>
  <sheetData>
    <row r="1" spans="1:1" x14ac:dyDescent="0.25">
      <c r="A1" t="s">
        <v>0</v>
      </c>
    </row>
    <row r="2" spans="1:1" x14ac:dyDescent="0.25">
      <c r="A2" t="s">
        <v>5</v>
      </c>
    </row>
  </sheetData>
  <dataValidations count="1">
    <dataValidation type="list" allowBlank="1" showInputMessage="1" showErrorMessage="1" sqref="A2" xr:uid="{15477FD7-4637-42D2-AE9E-D7D532B9213D}">
      <formula1>StatusEffectsForList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BA35-81E6-480F-BB33-F918D549219D}">
  <dimension ref="A1:D11"/>
  <sheetViews>
    <sheetView workbookViewId="0">
      <selection activeCell="D13" sqref="D13"/>
    </sheetView>
  </sheetViews>
  <sheetFormatPr defaultRowHeight="15" x14ac:dyDescent="0.25"/>
  <cols>
    <col min="1" max="1" width="21.7109375" customWidth="1"/>
    <col min="2" max="2" width="18.85546875" customWidth="1"/>
    <col min="3" max="3" width="17.285156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/>
      <c r="B2" s="2" t="str">
        <f>IFERROR(VLOOKUP(Table157[[#This Row],[Name]], [1]!Table1[#Data], 2, FALSE), "")</f>
        <v/>
      </c>
      <c r="C2" s="2" t="str">
        <f>IFERROR(VLOOKUP(Table157[[#This Row],[Name]], [1]!Table1[#Data], 3, FALSE), "")</f>
        <v/>
      </c>
      <c r="D2" s="2" t="str">
        <f>IFERROR(VLOOKUP(Table157[[#This Row],[Name]], [1]!Table1[#Data],4, FALSE), "")</f>
        <v/>
      </c>
    </row>
    <row r="3" spans="1:4" x14ac:dyDescent="0.25">
      <c r="A3" s="1"/>
      <c r="B3" s="2" t="str">
        <f>IFERROR(VLOOKUP(Table157[[#This Row],[Name]], [1]!Table1[#Data], 2, FALSE), "")</f>
        <v/>
      </c>
      <c r="C3" s="2" t="str">
        <f>IFERROR(VLOOKUP(Table157[[#This Row],[Name]], [1]!Table1[#Data], 3, FALSE), "")</f>
        <v/>
      </c>
      <c r="D3" s="2" t="str">
        <f>IFERROR(VLOOKUP(Table157[[#This Row],[Name]], [1]!Table1[#Data],4, FALSE), "")</f>
        <v/>
      </c>
    </row>
    <row r="4" spans="1:4" x14ac:dyDescent="0.25">
      <c r="A4" s="1"/>
      <c r="B4" s="2" t="str">
        <f>IFERROR(VLOOKUP(Table157[[#This Row],[Name]], [1]!Table1[#Data], 2, FALSE), "")</f>
        <v/>
      </c>
      <c r="C4" s="2" t="str">
        <f>IFERROR(VLOOKUP(Table157[[#This Row],[Name]], [1]!Table1[#Data], 3, FALSE), "")</f>
        <v/>
      </c>
      <c r="D4" s="2" t="str">
        <f>IFERROR(VLOOKUP(Table157[[#This Row],[Name]], [1]!Table1[#Data],4, FALSE), "")</f>
        <v/>
      </c>
    </row>
    <row r="5" spans="1:4" x14ac:dyDescent="0.25">
      <c r="A5" s="1"/>
      <c r="B5" s="2" t="str">
        <f>IFERROR(VLOOKUP(Table157[[#This Row],[Name]], [1]!Table1[#Data], 2, FALSE), "")</f>
        <v/>
      </c>
      <c r="C5" s="2" t="str">
        <f>IFERROR(VLOOKUP(Table157[[#This Row],[Name]], [1]!Table1[#Data], 3, FALSE), "")</f>
        <v/>
      </c>
      <c r="D5" s="2" t="str">
        <f>IFERROR(VLOOKUP(Table157[[#This Row],[Name]], [1]!Table1[#Data],4, FALSE), "")</f>
        <v/>
      </c>
    </row>
    <row r="6" spans="1:4" x14ac:dyDescent="0.25">
      <c r="A6" s="1"/>
      <c r="B6" s="2" t="str">
        <f>IFERROR(VLOOKUP(Table157[[#This Row],[Name]], [1]!Table1[#Data], 2, FALSE), "")</f>
        <v/>
      </c>
      <c r="C6" s="2" t="str">
        <f>IFERROR(VLOOKUP(Table157[[#This Row],[Name]], [1]!Table1[#Data], 3, FALSE), "")</f>
        <v/>
      </c>
      <c r="D6" s="2" t="str">
        <f>IFERROR(VLOOKUP(Table157[[#This Row],[Name]], [1]!Table1[#Data],4, FALSE), "")</f>
        <v/>
      </c>
    </row>
    <row r="7" spans="1:4" x14ac:dyDescent="0.25">
      <c r="A7" s="1"/>
      <c r="B7" s="2" t="str">
        <f>IFERROR(VLOOKUP(Table157[[#This Row],[Name]], [1]!Table1[#Data], 2, FALSE), "")</f>
        <v/>
      </c>
      <c r="C7" s="2" t="str">
        <f>IFERROR(VLOOKUP(Table157[[#This Row],[Name]], [1]!Table1[#Data], 3, FALSE), "")</f>
        <v/>
      </c>
      <c r="D7" s="2" t="str">
        <f>IFERROR(VLOOKUP(Table157[[#This Row],[Name]], [1]!Table1[#Data],4, FALSE), "")</f>
        <v/>
      </c>
    </row>
    <row r="8" spans="1:4" x14ac:dyDescent="0.25">
      <c r="A8" s="1"/>
      <c r="B8" s="2" t="str">
        <f>IFERROR(VLOOKUP(Table157[[#This Row],[Name]], [1]!Table1[#Data], 2, FALSE), "")</f>
        <v/>
      </c>
      <c r="C8" s="2" t="str">
        <f>IFERROR(VLOOKUP(Table157[[#This Row],[Name]], [1]!Table1[#Data], 3, FALSE), "")</f>
        <v/>
      </c>
      <c r="D8" s="2" t="str">
        <f>IFERROR(VLOOKUP(Table157[[#This Row],[Name]], [1]!Table1[#Data],4, FALSE), "")</f>
        <v/>
      </c>
    </row>
    <row r="9" spans="1:4" x14ac:dyDescent="0.25">
      <c r="A9" s="1"/>
      <c r="B9" s="2" t="str">
        <f>IFERROR(VLOOKUP(Table157[[#This Row],[Name]], [1]!Table1[#Data], 2, FALSE), "")</f>
        <v/>
      </c>
      <c r="C9" s="2" t="str">
        <f>IFERROR(VLOOKUP(Table157[[#This Row],[Name]], [1]!Table1[#Data], 3, FALSE), "")</f>
        <v/>
      </c>
      <c r="D9" s="2" t="str">
        <f>IFERROR(VLOOKUP(Table157[[#This Row],[Name]], [1]!Table1[#Data],4, FALSE), "")</f>
        <v/>
      </c>
    </row>
    <row r="10" spans="1:4" x14ac:dyDescent="0.25">
      <c r="A10" s="1"/>
      <c r="B10" s="2" t="str">
        <f>IFERROR(VLOOKUP(Table157[[#This Row],[Name]], [1]!Table1[#Data], 2, FALSE), "")</f>
        <v/>
      </c>
      <c r="C10" s="2" t="str">
        <f>IFERROR(VLOOKUP(Table157[[#This Row],[Name]], [1]!Table1[#Data], 3, FALSE), "")</f>
        <v/>
      </c>
      <c r="D10" s="2" t="str">
        <f>IFERROR(VLOOKUP(Table157[[#This Row],[Name]], [1]!Table1[#Data],4, FALSE), "")</f>
        <v/>
      </c>
    </row>
    <row r="11" spans="1:4" x14ac:dyDescent="0.25">
      <c r="A11" s="1"/>
      <c r="B11" s="2" t="str">
        <f>IFERROR(VLOOKUP(Table157[[#This Row],[Name]], [1]!Table1[#Data], 2, FALSE), "")</f>
        <v/>
      </c>
      <c r="C11" s="2" t="str">
        <f>IFERROR(VLOOKUP(Table157[[#This Row],[Name]], [1]!Table1[#Data], 3, FALSE), "")</f>
        <v/>
      </c>
      <c r="D11" s="2" t="str">
        <f>IFERROR(VLOOKUP(Table157[[#This Row],[Name]], [1]!Table1[#Data],4, FALSE), "")</f>
        <v/>
      </c>
    </row>
  </sheetData>
  <dataValidations count="1">
    <dataValidation type="list" allowBlank="1" showInputMessage="1" showErrorMessage="1" sqref="A2:A11" xr:uid="{4B8F8DA9-E86F-4EBE-A5AF-F63FC3A9A726}">
      <formula1>DamagesForList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DB38C-5516-4713-8938-7FD95E82605E}">
  <dimension ref="A1:C11"/>
  <sheetViews>
    <sheetView workbookViewId="0">
      <selection activeCell="D8" sqref="D8"/>
    </sheetView>
  </sheetViews>
  <sheetFormatPr defaultRowHeight="15" x14ac:dyDescent="0.25"/>
  <cols>
    <col min="1" max="1" width="29.42578125" customWidth="1"/>
    <col min="2" max="2" width="15" customWidth="1"/>
  </cols>
  <sheetData>
    <row r="1" spans="1:3" x14ac:dyDescent="0.25">
      <c r="A1" t="s">
        <v>0</v>
      </c>
      <c r="B1" t="s">
        <v>2</v>
      </c>
      <c r="C1" t="s">
        <v>3</v>
      </c>
    </row>
    <row r="2" spans="1:3" x14ac:dyDescent="0.25">
      <c r="A2" s="1"/>
      <c r="B2" s="2" t="str">
        <f>IFERROR(VLOOKUP(Table1568[[#This Row],[Name]], [2]!Table1[#Data], 2, FALSE), "")</f>
        <v/>
      </c>
      <c r="C2" s="2" t="str">
        <f>IFERROR(VLOOKUP(Table1568[[#This Row],[Name]], [2]!Table1[#Data], 3, FALSE), "")</f>
        <v/>
      </c>
    </row>
    <row r="3" spans="1:3" x14ac:dyDescent="0.25">
      <c r="A3" s="1"/>
      <c r="B3" s="2" t="str">
        <f>IFERROR(VLOOKUP(Table1568[[#This Row],[Name]], [2]!Table1[#Data], 2, FALSE), "")</f>
        <v/>
      </c>
      <c r="C3" s="2" t="str">
        <f>IFERROR(VLOOKUP(Table1568[[#This Row],[Name]], [2]!Table1[#Data], 3, FALSE), "")</f>
        <v/>
      </c>
    </row>
    <row r="4" spans="1:3" x14ac:dyDescent="0.25">
      <c r="A4" s="1"/>
      <c r="B4" s="2" t="str">
        <f>IFERROR(VLOOKUP(Table1568[[#This Row],[Name]], [2]!Table1[#Data], 2, FALSE), "")</f>
        <v/>
      </c>
      <c r="C4" s="2" t="str">
        <f>IFERROR(VLOOKUP(Table1568[[#This Row],[Name]], [2]!Table1[#Data], 3, FALSE), "")</f>
        <v/>
      </c>
    </row>
    <row r="5" spans="1:3" x14ac:dyDescent="0.25">
      <c r="A5" s="1"/>
      <c r="B5" s="2" t="str">
        <f>IFERROR(VLOOKUP(Table1568[[#This Row],[Name]], [2]!Table1[#Data], 2, FALSE), "")</f>
        <v/>
      </c>
      <c r="C5" s="2" t="str">
        <f>IFERROR(VLOOKUP(Table1568[[#This Row],[Name]], [2]!Table1[#Data], 3, FALSE), "")</f>
        <v/>
      </c>
    </row>
    <row r="6" spans="1:3" x14ac:dyDescent="0.25">
      <c r="A6" s="1"/>
      <c r="B6" s="2" t="str">
        <f>IFERROR(VLOOKUP(Table1568[[#This Row],[Name]], [2]!Table1[#Data], 2, FALSE), "")</f>
        <v/>
      </c>
      <c r="C6" s="2" t="str">
        <f>IFERROR(VLOOKUP(Table1568[[#This Row],[Name]], [2]!Table1[#Data], 3, FALSE), "")</f>
        <v/>
      </c>
    </row>
    <row r="7" spans="1:3" x14ac:dyDescent="0.25">
      <c r="A7" s="1"/>
      <c r="B7" s="2" t="str">
        <f>IFERROR(VLOOKUP(Table1568[[#This Row],[Name]], [2]!Table1[#Data], 2, FALSE), "")</f>
        <v/>
      </c>
      <c r="C7" s="2" t="str">
        <f>IFERROR(VLOOKUP(Table1568[[#This Row],[Name]], [2]!Table1[#Data], 3, FALSE), "")</f>
        <v/>
      </c>
    </row>
    <row r="8" spans="1:3" x14ac:dyDescent="0.25">
      <c r="A8" s="1"/>
      <c r="B8" s="2" t="str">
        <f>IFERROR(VLOOKUP(Table1568[[#This Row],[Name]], [2]!Table1[#Data], 2, FALSE), "")</f>
        <v/>
      </c>
      <c r="C8" s="2" t="str">
        <f>IFERROR(VLOOKUP(Table1568[[#This Row],[Name]], [2]!Table1[#Data], 3, FALSE), "")</f>
        <v/>
      </c>
    </row>
    <row r="9" spans="1:3" x14ac:dyDescent="0.25">
      <c r="A9" s="1"/>
      <c r="B9" s="2" t="str">
        <f>IFERROR(VLOOKUP(Table1568[[#This Row],[Name]], [2]!Table1[#Data], 2, FALSE), "")</f>
        <v/>
      </c>
      <c r="C9" s="2" t="str">
        <f>IFERROR(VLOOKUP(Table1568[[#This Row],[Name]], [2]!Table1[#Data], 3, FALSE), "")</f>
        <v/>
      </c>
    </row>
    <row r="10" spans="1:3" x14ac:dyDescent="0.25">
      <c r="A10" s="1"/>
      <c r="B10" s="2" t="str">
        <f>IFERROR(VLOOKUP(Table1568[[#This Row],[Name]], [2]!Table1[#Data], 2, FALSE), "")</f>
        <v/>
      </c>
      <c r="C10" s="2" t="str">
        <f>IFERROR(VLOOKUP(Table1568[[#This Row],[Name]], [2]!Table1[#Data], 3, FALSE), "")</f>
        <v/>
      </c>
    </row>
    <row r="11" spans="1:3" x14ac:dyDescent="0.25">
      <c r="A11" s="1"/>
      <c r="B11" s="2" t="str">
        <f>IFERROR(VLOOKUP(Table1568[[#This Row],[Name]], [2]!Table1[#Data], 2, FALSE), "")</f>
        <v/>
      </c>
      <c r="C11" s="2" t="str">
        <f>IFERROR(VLOOKUP(Table1568[[#This Row],[Name]], [2]!Table1[#Data], 3, FALSE), "")</f>
        <v/>
      </c>
    </row>
  </sheetData>
  <dataValidations count="1">
    <dataValidation type="list" allowBlank="1" showInputMessage="1" showErrorMessage="1" sqref="A2:A11" xr:uid="{AD2C9883-734A-4221-8864-08AB7EF19A0E}">
      <formula1>HealingsForList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CDD1C-6D2E-4556-8C06-ABCDC7E65B05}">
  <dimension ref="A1:C11"/>
  <sheetViews>
    <sheetView tabSelected="1" workbookViewId="0">
      <selection activeCell="F7" sqref="F7"/>
    </sheetView>
  </sheetViews>
  <sheetFormatPr defaultRowHeight="15" x14ac:dyDescent="0.25"/>
  <cols>
    <col min="1" max="1" width="21.42578125" customWidth="1"/>
    <col min="2" max="2" width="13.140625" customWidth="1"/>
    <col min="3" max="3" width="10.7109375" customWidth="1"/>
  </cols>
  <sheetData>
    <row r="1" spans="1:3" x14ac:dyDescent="0.25">
      <c r="A1" s="3" t="s">
        <v>0</v>
      </c>
      <c r="B1" s="4" t="s">
        <v>4</v>
      </c>
      <c r="C1" s="4" t="s">
        <v>3</v>
      </c>
    </row>
    <row r="2" spans="1:3" x14ac:dyDescent="0.25">
      <c r="A2" s="1"/>
      <c r="B2" s="2" t="str">
        <f>IFERROR(VLOOKUP(Table89[[#This Row],[Name]], [3]!Table1[#Data], 2, FALSE), "")</f>
        <v/>
      </c>
      <c r="C2" s="2" t="str">
        <f>IFERROR(VLOOKUP(Table89[[#This Row],[Name]], [3]!Table1[#Data], 3, FALSE), "")</f>
        <v/>
      </c>
    </row>
    <row r="3" spans="1:3" x14ac:dyDescent="0.25">
      <c r="A3" s="1"/>
      <c r="B3" s="2" t="str">
        <f>IFERROR(VLOOKUP(Table89[[#This Row],[Name]], [3]!Table1[#Data], 2, FALSE), "")</f>
        <v/>
      </c>
      <c r="C3" s="2" t="str">
        <f>IFERROR(VLOOKUP(Table89[[#This Row],[Name]], [3]!Table1[#Data], 3, FALSE), "")</f>
        <v/>
      </c>
    </row>
    <row r="4" spans="1:3" x14ac:dyDescent="0.25">
      <c r="A4" s="1"/>
      <c r="B4" s="2" t="str">
        <f>IFERROR(VLOOKUP(Table89[[#This Row],[Name]], [3]!Table1[#Data], 2, FALSE), "")</f>
        <v/>
      </c>
      <c r="C4" s="2" t="str">
        <f>IFERROR(VLOOKUP(Table89[[#This Row],[Name]], [3]!Table1[#Data], 3, FALSE), "")</f>
        <v/>
      </c>
    </row>
    <row r="5" spans="1:3" x14ac:dyDescent="0.25">
      <c r="A5" s="1"/>
      <c r="B5" s="2" t="str">
        <f>IFERROR(VLOOKUP(Table89[[#This Row],[Name]], [3]!Table1[#Data], 2, FALSE), "")</f>
        <v/>
      </c>
      <c r="C5" s="2" t="str">
        <f>IFERROR(VLOOKUP(Table89[[#This Row],[Name]], [3]!Table1[#Data], 3, FALSE), "")</f>
        <v/>
      </c>
    </row>
    <row r="6" spans="1:3" x14ac:dyDescent="0.25">
      <c r="A6" s="1"/>
      <c r="B6" s="2" t="str">
        <f>IFERROR(VLOOKUP(Table89[[#This Row],[Name]], [3]!Table1[#Data], 2, FALSE), "")</f>
        <v/>
      </c>
      <c r="C6" s="2" t="str">
        <f>IFERROR(VLOOKUP(Table89[[#This Row],[Name]], [3]!Table1[#Data], 3, FALSE), "")</f>
        <v/>
      </c>
    </row>
    <row r="7" spans="1:3" x14ac:dyDescent="0.25">
      <c r="A7" s="1"/>
      <c r="B7" s="2" t="str">
        <f>IFERROR(VLOOKUP(Table89[[#This Row],[Name]], [3]!Table1[#Data], 2, FALSE), "")</f>
        <v/>
      </c>
      <c r="C7" s="2" t="str">
        <f>IFERROR(VLOOKUP(Table89[[#This Row],[Name]], [3]!Table1[#Data], 3, FALSE), "")</f>
        <v/>
      </c>
    </row>
    <row r="8" spans="1:3" x14ac:dyDescent="0.25">
      <c r="A8" s="1"/>
      <c r="B8" s="2" t="str">
        <f>IFERROR(VLOOKUP(Table89[[#This Row],[Name]], [3]!Table1[#Data], 2, FALSE), "")</f>
        <v/>
      </c>
      <c r="C8" s="2" t="str">
        <f>IFERROR(VLOOKUP(Table89[[#This Row],[Name]], [3]!Table1[#Data], 3, FALSE), "")</f>
        <v/>
      </c>
    </row>
    <row r="9" spans="1:3" x14ac:dyDescent="0.25">
      <c r="A9" s="1"/>
      <c r="B9" s="2" t="str">
        <f>IFERROR(VLOOKUP(Table89[[#This Row],[Name]], [3]!Table1[#Data], 2, FALSE), "")</f>
        <v/>
      </c>
      <c r="C9" s="2" t="str">
        <f>IFERROR(VLOOKUP(Table89[[#This Row],[Name]], [3]!Table1[#Data], 3, FALSE), "")</f>
        <v/>
      </c>
    </row>
    <row r="10" spans="1:3" x14ac:dyDescent="0.25">
      <c r="A10" s="1"/>
      <c r="B10" s="2" t="str">
        <f>IFERROR(VLOOKUP(Table89[[#This Row],[Name]], [3]!Table1[#Data], 2, FALSE), "")</f>
        <v/>
      </c>
      <c r="C10" s="2" t="str">
        <f>IFERROR(VLOOKUP(Table89[[#This Row],[Name]], [3]!Table1[#Data], 3, FALSE), "")</f>
        <v/>
      </c>
    </row>
    <row r="11" spans="1:3" x14ac:dyDescent="0.25">
      <c r="A11" s="5"/>
      <c r="B11" s="6" t="str">
        <f>IFERROR(VLOOKUP(Table89[[#This Row],[Name]], [3]!Table1[#Data], 2, FALSE), "")</f>
        <v/>
      </c>
      <c r="C11" s="6" t="str">
        <f>IFERROR(VLOOKUP(Table89[[#This Row],[Name]], [3]!Table1[#Data], 3, FALSE), "")</f>
        <v/>
      </c>
    </row>
  </sheetData>
  <dataValidations count="1">
    <dataValidation type="list" allowBlank="1" showInputMessage="1" showErrorMessage="1" sqref="A2:A11" xr:uid="{9F1EF94A-EF8B-4AB1-A50C-FAA46E029A33}">
      <formula1>TurnMovesForList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Settings</vt:lpstr>
      <vt:lpstr>ClassRestrictions</vt:lpstr>
      <vt:lpstr>School</vt:lpstr>
      <vt:lpstr>Prerequisites</vt:lpstr>
      <vt:lpstr>TargetStatusEffects</vt:lpstr>
      <vt:lpstr>TargetDamages</vt:lpstr>
      <vt:lpstr>TargetHealings</vt:lpstr>
      <vt:lpstr>TargetMoves</vt:lpstr>
      <vt:lpstr>SelfStatusEffects</vt:lpstr>
      <vt:lpstr>SelfDamages</vt:lpstr>
      <vt:lpstr>SelfHealings</vt:lpstr>
      <vt:lpstr>SelfMoves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Giddings</dc:creator>
  <cp:lastModifiedBy>James Giddings</cp:lastModifiedBy>
  <dcterms:created xsi:type="dcterms:W3CDTF">2023-03-12T13:51:14Z</dcterms:created>
  <dcterms:modified xsi:type="dcterms:W3CDTF">2023-03-12T17:21:10Z</dcterms:modified>
</cp:coreProperties>
</file>